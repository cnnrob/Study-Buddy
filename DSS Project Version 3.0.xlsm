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nnor\Desktop\Git\Study-Buddy\"/>
    </mc:Choice>
  </mc:AlternateContent>
  <bookViews>
    <workbookView xWindow="0" yWindow="0" windowWidth="13485" windowHeight="8400" firstSheet="1" activeTab="1"/>
  </bookViews>
  <sheets>
    <sheet name="Data" sheetId="1" state="hidden" r:id="rId1"/>
    <sheet name="Main" sheetId="2" r:id="rId2"/>
    <sheet name="Calendar" sheetId="3" r:id="rId3"/>
  </sheets>
  <functionGroups builtInGroupCount="18"/>
  <definedNames>
    <definedName name="solver_adj" localSheetId="0" hidden="1">Data!$P$4:$S$6</definedName>
    <definedName name="solver_adj" localSheetId="1" hidden="1">Main!$J$11:$J$14,Main!$L$11:$L$14,Main!$N$11:$N$14</definedName>
    <definedName name="solver_cvg" localSheetId="0" hidden="1">0.0001</definedName>
    <definedName name="solver_cvg" localSheetId="1" hidden="1">0.0001</definedName>
    <definedName name="solver_drv" localSheetId="0" hidden="1">2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Data!$P$4:$S$6</definedName>
    <definedName name="solver_lhs1" localSheetId="1" hidden="1">Main!$J$11:$J$14</definedName>
    <definedName name="solver_lhs2" localSheetId="0" hidden="1">Data!$P$4:$S$6</definedName>
    <definedName name="solver_lhs2" localSheetId="1" hidden="1">Main!$J$11:$J$14</definedName>
    <definedName name="solver_lhs3" localSheetId="0" hidden="1">Data!$T$4:$T$6</definedName>
    <definedName name="solver_lhs3" localSheetId="1" hidden="1">Main!$L$11:$L$14</definedName>
    <definedName name="solver_lhs4" localSheetId="1" hidden="1">Main!$L$11:$L$14</definedName>
    <definedName name="solver_lhs5" localSheetId="1" hidden="1">Main!$N$11:$N$14</definedName>
    <definedName name="solver_lhs6" localSheetId="1" hidden="1">Main!$N$11:$N$14</definedName>
    <definedName name="solver_lhs7" localSheetId="1" hidden="1">Main!$O$11:$O$14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1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3</definedName>
    <definedName name="solver_num" localSheetId="1" hidden="1">7</definedName>
    <definedName name="solver_nwt" localSheetId="0" hidden="1">1</definedName>
    <definedName name="solver_nwt" localSheetId="1" hidden="1">1</definedName>
    <definedName name="solver_opt" localSheetId="0" hidden="1">Data!$U$7</definedName>
    <definedName name="solver_opt" localSheetId="1" hidden="1">Main!$P$15</definedName>
    <definedName name="solver_pre" localSheetId="0" hidden="1">0.000001</definedName>
    <definedName name="solver_pre" localSheetId="1" hidden="1">0.000001</definedName>
    <definedName name="solver_rbv" localSheetId="0" hidden="1">2</definedName>
    <definedName name="solver_rbv" localSheetId="1" hidden="1">1</definedName>
    <definedName name="solver_rel1" localSheetId="0" hidden="1">1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hs1" localSheetId="0" hidden="1">15</definedName>
    <definedName name="solver_rhs1" localSheetId="1" hidden="1">15</definedName>
    <definedName name="solver_rhs2" localSheetId="0" hidden="1">2</definedName>
    <definedName name="solver_rhs2" localSheetId="1" hidden="1">2</definedName>
    <definedName name="solver_rhs3" localSheetId="0" hidden="1">Data!$O$4:$O$6</definedName>
    <definedName name="solver_rhs3" localSheetId="1" hidden="1">15</definedName>
    <definedName name="solver_rhs4" localSheetId="1" hidden="1">2</definedName>
    <definedName name="solver_rhs5" localSheetId="1" hidden="1">15</definedName>
    <definedName name="solver_rhs6" localSheetId="1" hidden="1">2</definedName>
    <definedName name="solver_rhs7" localSheetId="1" hidden="1">Main!$H$11:$H$14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0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1" l="1"/>
  <c r="T6" i="1"/>
  <c r="U5" i="1"/>
  <c r="T5" i="1"/>
  <c r="U4" i="1"/>
  <c r="T4" i="1"/>
  <c r="F2" i="1"/>
  <c r="G2" i="1"/>
  <c r="F3" i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G15" i="1"/>
  <c r="F15" i="1"/>
  <c r="U7" i="1" l="1"/>
  <c r="H5" i="1"/>
  <c r="I5" i="1" s="1"/>
  <c r="H14" i="1"/>
  <c r="I14" i="1" s="1"/>
  <c r="H12" i="1"/>
  <c r="I12" i="1" s="1"/>
  <c r="H10" i="1"/>
  <c r="I10" i="1" s="1"/>
  <c r="H8" i="1"/>
  <c r="I8" i="1" s="1"/>
  <c r="H6" i="1"/>
  <c r="I6" i="1" s="1"/>
  <c r="H4" i="1"/>
  <c r="I4" i="1" s="1"/>
  <c r="H2" i="1"/>
  <c r="H15" i="1"/>
  <c r="I15" i="1" s="1"/>
  <c r="H11" i="1"/>
  <c r="I11" i="1" s="1"/>
  <c r="H7" i="1"/>
  <c r="I7" i="1" s="1"/>
  <c r="H13" i="1"/>
  <c r="I13" i="1" s="1"/>
  <c r="H9" i="1"/>
  <c r="I9" i="1" s="1"/>
  <c r="H3" i="1"/>
  <c r="I3" i="1" s="1"/>
  <c r="J2" i="1" l="1"/>
  <c r="J4" i="1"/>
  <c r="C1" i="1" l="1"/>
  <c r="A30" i="1" l="1"/>
  <c r="A29" i="1"/>
  <c r="A28" i="1"/>
  <c r="A27" i="1"/>
  <c r="A26" i="1"/>
  <c r="A25" i="1"/>
  <c r="C2" i="1" l="1"/>
  <c r="C3" i="1" s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l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</calcChain>
</file>

<file path=xl/sharedStrings.xml><?xml version="1.0" encoding="utf-8"?>
<sst xmlns="http://schemas.openxmlformats.org/spreadsheetml/2006/main" count="4726" uniqueCount="1769">
  <si>
    <t>Date</t>
  </si>
  <si>
    <t>Quiz</t>
  </si>
  <si>
    <t>Final Exam</t>
  </si>
  <si>
    <t>Midterm Exam</t>
  </si>
  <si>
    <t>Lab</t>
  </si>
  <si>
    <t>Test</t>
  </si>
  <si>
    <t>Assignment</t>
  </si>
  <si>
    <t>Course</t>
  </si>
  <si>
    <t>Event Type</t>
  </si>
  <si>
    <t>Time</t>
  </si>
  <si>
    <t>Professor</t>
  </si>
  <si>
    <t>User Rating</t>
  </si>
  <si>
    <t>Events</t>
  </si>
  <si>
    <t>Study Hours</t>
  </si>
  <si>
    <t>Courses</t>
  </si>
  <si>
    <t>Predicted Rating</t>
  </si>
  <si>
    <t>MSCI 311</t>
  </si>
  <si>
    <t>w1</t>
  </si>
  <si>
    <t>w2</t>
  </si>
  <si>
    <t>epsilon</t>
  </si>
  <si>
    <t>Sum</t>
  </si>
  <si>
    <t>Max</t>
  </si>
  <si>
    <t>wi</t>
  </si>
  <si>
    <t>MSCI 444</t>
  </si>
  <si>
    <t>Weekly Hours</t>
  </si>
  <si>
    <t>Course 1 Actual</t>
  </si>
  <si>
    <t>Course 2 Actual</t>
  </si>
  <si>
    <t>Course 2 Score</t>
  </si>
  <si>
    <t>Course 1 Score</t>
  </si>
  <si>
    <t>Total Hours</t>
  </si>
  <si>
    <t>WeekScore</t>
  </si>
  <si>
    <t>MSCI 436</t>
  </si>
  <si>
    <t>MSCI 334</t>
  </si>
  <si>
    <t>Course 3 Actual</t>
  </si>
  <si>
    <t>Course 4 Actual</t>
  </si>
  <si>
    <t>Course 3 Score</t>
  </si>
  <si>
    <t>Course 4 Score</t>
  </si>
  <si>
    <t>C:\Users\Connor\Desktop\Git\Study-Buddy\Spring 2017 Sample.ics</t>
  </si>
  <si>
    <t>BEGIN:VCALENDAR</t>
  </si>
  <si>
    <t>PRODID:-//Google Inc//Google Calendar 70.9054//EN</t>
  </si>
  <si>
    <t>VERSION:2.0</t>
  </si>
  <si>
    <t>CALSCALE:GREGORIAN</t>
  </si>
  <si>
    <t>METHOD:PUBLISH</t>
  </si>
  <si>
    <t>X-WR-CALNAME:cnnrob@gmail.com</t>
  </si>
  <si>
    <t>X-WR-TIMEZONE:America/Toronto</t>
  </si>
  <si>
    <t>BEGIN:VTIMEZONE</t>
  </si>
  <si>
    <t>TZID:America/Atikokan</t>
  </si>
  <si>
    <t>X-LIC-LOCATION:America/Atikokan</t>
  </si>
  <si>
    <t>BEGIN:STANDARD</t>
  </si>
  <si>
    <t>TZOFFSETFROM:-0500</t>
  </si>
  <si>
    <t>TZOFFSETTO:-0500</t>
  </si>
  <si>
    <t>TZNAME:EST</t>
  </si>
  <si>
    <t>DTSTART:19700101T000000</t>
  </si>
  <si>
    <t>END:STANDARD</t>
  </si>
  <si>
    <t>END:VTIMEZONE</t>
  </si>
  <si>
    <t>TZID:America/Toronto</t>
  </si>
  <si>
    <t>X-LIC-LOCATION:America/Toronto</t>
  </si>
  <si>
    <t>BEGIN:DAYLIGHT</t>
  </si>
  <si>
    <t>TZOFFSETTO:-0400</t>
  </si>
  <si>
    <t>TZNAME:EDT</t>
  </si>
  <si>
    <t>DTSTART:19700308T020000</t>
  </si>
  <si>
    <t>RRULE:FREQ=YEARLY;BYMONTH=3;BYDAY=2SU</t>
  </si>
  <si>
    <t>END:DAYLIGHT</t>
  </si>
  <si>
    <t>TZOFFSETFROM:-0400</t>
  </si>
  <si>
    <t>DTSTART:19701101T020000</t>
  </si>
  <si>
    <t>RRULE:FREQ=YEARLY;BYMONTH=11;BYDAY=1SU</t>
  </si>
  <si>
    <t>BEGIN:VEVENT</t>
  </si>
  <si>
    <t>DTSTART:20140315T140000Z</t>
  </si>
  <si>
    <t>DTEND:20140315T150000Z</t>
  </si>
  <si>
    <t>DTSTAMP:20170517T222340Z</t>
  </si>
  <si>
    <t>ORGANIZER;CN=wrahman0@gmail.com:mailto:wrahman0@gmail.com</t>
  </si>
  <si>
    <t>UID:t0kbun7nsf8sel6p4ohjer1rj0@google.com</t>
  </si>
  <si>
    <t>ATTENDEE;CUTYPE=INDIVIDUAL;ROLE=REQ-PARTICIPANT;PARTSTAT=ACCEPTED;CN=Wasiur</t>
  </si>
  <si>
    <t xml:space="preserve">  Rahman;X-NUM-GUESTS=0:mailto:wrahman0@gmail.com</t>
  </si>
  <si>
    <t>ATTENDEE;CUTYPE=INDIVIDUAL;ROLE=REQ-PARTICIPANT;PARTSTAT=NEEDS-ACTION;CN=Ad</t>
  </si>
  <si>
    <t xml:space="preserve"> rian Novotny;X-NUM-GUESTS=0:mailto:adrian.novotny@gmail.com</t>
  </si>
  <si>
    <t>ATTENDEE;CUTYPE=INDIVIDUAL;ROLE=REQ-PARTICIPANT;PARTSTAT=ACCEPTED;CN=Connor</t>
  </si>
  <si>
    <t xml:space="preserve">  O'Brien;X-NUM-GUESTS=0:mailto:cnnrob@gmail.com</t>
  </si>
  <si>
    <t>ATTENDEE;CUTYPE=INDIVIDUAL;ROLE=REQ-PARTICIPANT;PARTSTAT=NEEDS-ACTION;CN=Ja</t>
  </si>
  <si>
    <t xml:space="preserve"> son Zhang;X-NUM-GUESTS=0:mailto:jasonhz1@hotmail.com</t>
  </si>
  <si>
    <t>CREATED:20140313T174744Z</t>
  </si>
  <si>
    <t>DESCRIPTION:Brunch</t>
  </si>
  <si>
    <t>LAST-MODIFIED:20140313T203716Z</t>
  </si>
  <si>
    <t>LOCATION:Mel's diner</t>
  </si>
  <si>
    <t>SEQUENCE:0</t>
  </si>
  <si>
    <t>STATUS:CONFIRMED</t>
  </si>
  <si>
    <t>SUMMARY:Breakfast</t>
  </si>
  <si>
    <t>TRANSP:OPAQUE</t>
  </si>
  <si>
    <t>END:VEVENT</t>
  </si>
  <si>
    <t>DTSTART:20151023T141500Z</t>
  </si>
  <si>
    <t>DTEND:20151023T191900Z</t>
  </si>
  <si>
    <t>ORGANIZER;CN=unknownorganizer@calendar.google.com:mailto:unknownorganizer@c</t>
  </si>
  <si>
    <t xml:space="preserve"> alendar.google.com</t>
  </si>
  <si>
    <t>UID:7kukuqrfedlm2f9thi7cla0nav6i9dvfvjddhqg2igkpu8hqu91glq7l8fstc2rkbdp0</t>
  </si>
  <si>
    <t>CLASS:PRIVATE</t>
  </si>
  <si>
    <t>CREATED:20150928T220228Z</t>
  </si>
  <si>
    <t>DESCRIPTION:WestJet flight 707\nToronto YYZ 10:06am (local time) - Vancouve</t>
  </si>
  <si>
    <t xml:space="preserve"> r YVR 12:17pm (local time)\n\nConfirmation number: MUXBPL</t>
  </si>
  <si>
    <t>LAST-MODIFIED:20151023T193426Z</t>
  </si>
  <si>
    <t>LOCATION:Toronto YYZ</t>
  </si>
  <si>
    <t>SUMMARY:Flight to Vancouver</t>
  </si>
  <si>
    <t>TRANSP:TRANSPARENT</t>
  </si>
  <si>
    <t>DTSTART:20151025T230000Z</t>
  </si>
  <si>
    <t>DTEND:20151026T032200Z</t>
  </si>
  <si>
    <t>UID:7kukuqrfedlm2f9t8ean1fo0pffkgok9fehs2ud4nhqd0pi6ecff8s9hlqtf8sm4ad9g</t>
  </si>
  <si>
    <t>DESCRIPTION:WestJet flight 816\nVancouver YVR 4:26pm (local time) - Toronto</t>
  </si>
  <si>
    <t xml:space="preserve">  YYZ 11:32pm (local time)\n\nConfirmation number: MUXBPL</t>
  </si>
  <si>
    <t>LAST-MODIFIED:20151026T035132Z</t>
  </si>
  <si>
    <t>LOCATION:Vancouver YVR</t>
  </si>
  <si>
    <t>SUMMARY:Flight to Toronto</t>
  </si>
  <si>
    <t>DTSTART:20151209T010000Z</t>
  </si>
  <si>
    <t>DTEND:20151209T020000Z</t>
  </si>
  <si>
    <t>ORGANIZER;CN=jasonhz11@gmail.com:mailto:jasonhz11@gmail.com</t>
  </si>
  <si>
    <t>UID:70o30or2c8s3ib9mchhmcb9k6somabb2cks68b9m6ss3ac1k70o3ip32cg@google.com</t>
  </si>
  <si>
    <t>ATTENDEE;CUTYPE=INDIVIDUAL;ROLE=REQ-PARTICIPANT;PARTSTAT=ACCEPTED;CN=Adrian</t>
  </si>
  <si>
    <t xml:space="preserve">  Novotny;X-NUM-GUESTS=0:mailto:adrian.novotny@gmail.com</t>
  </si>
  <si>
    <t>ATTENDEE;CUTYPE=INDIVIDUAL;ROLE=REQ-PARTICIPANT;PARTSTAT=ACCEPTED;CN=Richin</t>
  </si>
  <si>
    <t xml:space="preserve">  George;X-NUM-GUESTS=0:mailto:richinrgeorge@gmail.com</t>
  </si>
  <si>
    <t xml:space="preserve">ATTENDEE;CUTYPE=INDIVIDUAL;ROLE=REQ-PARTICIPANT;PARTSTAT=ACCEPTED;CN=Jason </t>
  </si>
  <si>
    <t xml:space="preserve"> Zhang;X-NUM-GUESTS=0:mailto:jasonhz11@gmail.com</t>
  </si>
  <si>
    <t>CREATED:20151120T010041Z</t>
  </si>
  <si>
    <t>DESCRIPTION:VIC FUCKIN SECRET\nView your event at https://www.google.com/ca</t>
  </si>
  <si>
    <t xml:space="preserve"> lendar/event?action=VIEW&amp;eid=NzBvMzBvcjJjOHMzaWI5bWNoaG1jYjlrNnNvbWFiYjJja3</t>
  </si>
  <si>
    <t xml:space="preserve"> M2OGI5bTZzczNhYzFrNzBvM2lwMzJjZyBjbm5yb2JAbQ&amp;tok=MTkjamFzb25oejExQGdtYWlsLm</t>
  </si>
  <si>
    <t xml:space="preserve"> NvbWRkOTE5NWNhMjg2YzMxYjI2YzU4ZDMzYzg5YTYxZDcyZmRjZTkyYzk&amp;ctz=America/Toron</t>
  </si>
  <si>
    <t xml:space="preserve"> to&amp;hl=en.</t>
  </si>
  <si>
    <t>LAST-MODIFIED:20151120T124310Z</t>
  </si>
  <si>
    <t>LOCATION:</t>
  </si>
  <si>
    <t>SUMMARY:</t>
  </si>
  <si>
    <t>DTSTART:20131029T160000Z</t>
  </si>
  <si>
    <t>DTEND:20131029T210000Z</t>
  </si>
  <si>
    <t>UID:2jse45790t1b2euul4nudlbm20@google.com</t>
  </si>
  <si>
    <t>CREATED:20160328T174239Z</t>
  </si>
  <si>
    <t>DESCRIPTION:</t>
  </si>
  <si>
    <t>LAST-MODIFIED:20160328T192536Z</t>
  </si>
  <si>
    <t>SUMMARY:Toyota plant</t>
  </si>
  <si>
    <t>DTSTART:20160129T033000Z</t>
  </si>
  <si>
    <t>DTEND:20160129T043000Z</t>
  </si>
  <si>
    <t>UID:3hmlctgaj884johsgksf939rro@google.com</t>
  </si>
  <si>
    <t>SEQUENCE:1</t>
  </si>
  <si>
    <t xml:space="preserve">SUMMARY:Volleyball </t>
  </si>
  <si>
    <t>DTSTART:20140113T213000Z</t>
  </si>
  <si>
    <t>DTEND:20140113T223000Z</t>
  </si>
  <si>
    <t>UID:3jguofue1meb17gqr9h7ohkthc@google.com</t>
  </si>
  <si>
    <t>LOCATION:RCH 103</t>
  </si>
  <si>
    <t>SUMMARY:Physics special lecture</t>
  </si>
  <si>
    <t>DTSTART:20160407T160000Z</t>
  </si>
  <si>
    <t>DTEND:20160407T193000Z</t>
  </si>
  <si>
    <t>UID:53r0rvjdn015j2rctfbi28qrtg@google.com</t>
  </si>
  <si>
    <t>SUMMARY:Afternoon Delight</t>
  </si>
  <si>
    <t>DTSTART:20160331T093000Z</t>
  </si>
  <si>
    <t>DTEND:20160331T123000Z</t>
  </si>
  <si>
    <t>UID:5olcm25kqtsuhe6jpdad8if9fk@google.com</t>
  </si>
  <si>
    <t>SUMMARY:Brunch</t>
  </si>
  <si>
    <t>DTSTART;TZID=America/Toronto:20130923T083000</t>
  </si>
  <si>
    <t>DTEND;TZID=America/Toronto:20130923T092000</t>
  </si>
  <si>
    <t>RRULE:FREQ=WEEKLY;WKST=SU;UNTIL=20131220T123000Z;BYDAY=MO</t>
  </si>
  <si>
    <t>UID:8v5rrbb32bu8n5evktlus4cf3g@google.com</t>
  </si>
  <si>
    <t>LOCATION:DWE 2527</t>
  </si>
  <si>
    <t>SUMMARY:Physics special tutorial</t>
  </si>
  <si>
    <t>DTSTART:20160218T200000Z</t>
  </si>
  <si>
    <t>DTEND:20160219T020000Z</t>
  </si>
  <si>
    <t>UID:96a3cifv92hjbfk145hfhdbiro@google.com</t>
  </si>
  <si>
    <t xml:space="preserve">SUMMARY:Dinner / hang out with Chris and Melissa </t>
  </si>
  <si>
    <t>DTSTART;TZID=America/Toronto:20130910T083000</t>
  </si>
  <si>
    <t>DTEND;TZID=America/Toronto:20130910T112000</t>
  </si>
  <si>
    <t>EXDATE;TZID=America/Toronto:20131029T083000</t>
  </si>
  <si>
    <t>RRULE:FREQ=WEEKLY;WKST=SU;UNTIL=20131202T192000Z;BYDAY=TU</t>
  </si>
  <si>
    <t>UID:Ical00e92277f296f56fb6853401ff64d5ec</t>
  </si>
  <si>
    <t>DESCRIPTION:MSCI 100-101: Management Eng. Concepts (LAB) in CPH 1346 with B</t>
  </si>
  <si>
    <t xml:space="preserve"> inyamin Mantin</t>
  </si>
  <si>
    <t>LOCATION:CPH 1346</t>
  </si>
  <si>
    <t>SUMMARY:MSCI 100 LAB in CPH 1346</t>
  </si>
  <si>
    <t>DTSTART;TZID=America/Toronto:20140911T123000</t>
  </si>
  <si>
    <t>DTEND;TZID=America/Toronto:20140911T135000</t>
  </si>
  <si>
    <t>RRULE:FREQ=WEEKLY;WKST=SU;UNTIL=20141201T215000Z;BYDAY=TH</t>
  </si>
  <si>
    <t>UID:Ical01309a7c2e67e6d0ae7b9fec2234252e</t>
  </si>
  <si>
    <t>DESCRIPTION:ME 250-002: Thermodynamics 1 (LEC) in E2 1303A with Ghobad Amin</t>
  </si>
  <si>
    <t xml:space="preserve"> i-Baziani</t>
  </si>
  <si>
    <t>LOCATION:E2 1303A</t>
  </si>
  <si>
    <t>SUMMARY:ME 250 LEC in E2 1303A</t>
  </si>
  <si>
    <t>DTSTART;TZID=America/Toronto:20140908T083000</t>
  </si>
  <si>
    <t>DTEND;TZID=America/Toronto:20140908T112000</t>
  </si>
  <si>
    <t>RRULE:FREQ=WEEKLY;WKST=SU;UNTIL=20141201T192000Z;BYDAY=MO</t>
  </si>
  <si>
    <t>UID:Ical0153ab635e8aeb51d3c31e39d8fff6f2</t>
  </si>
  <si>
    <t>DESCRIPTION:MSCI 240-203: Algorithms &amp; Data Structures (LAB) in CPH 4335 wi</t>
  </si>
  <si>
    <t xml:space="preserve"> th Ozden Dalgic</t>
  </si>
  <si>
    <t>LOCATION:CPH 4335</t>
  </si>
  <si>
    <t>SUMMARY:MSCI 240 LAB in CPH 4335</t>
  </si>
  <si>
    <t>DTSTART;TZID=America/Toronto:20140912T083000</t>
  </si>
  <si>
    <t>DTEND;TZID=America/Toronto:20140912T112000</t>
  </si>
  <si>
    <t>RRULE:FREQ=WEEKLY;WKST=SU;UNTIL=20141201T192000Z;BYDAY=FR</t>
  </si>
  <si>
    <t>UID:Ical02fb9b11bc4598e55ce1832a00acd2e9</t>
  </si>
  <si>
    <t>DESCRIPTION:ME 235-201: Materials Science &amp; Eng (LAB) in E3 2119 with Staff</t>
  </si>
  <si>
    <t>LOCATION:E3 2119</t>
  </si>
  <si>
    <t>SUMMARY:ME 235 LAB in E3 2119</t>
  </si>
  <si>
    <t>DTSTART:20140127T203000Z</t>
  </si>
  <si>
    <t>DTEND:20140127T212000Z</t>
  </si>
  <si>
    <t>UID:Ical0396c83767b6d9fa265088039e5ad06b</t>
  </si>
  <si>
    <t>DESCRIPTION:MATH 118-003: Calculus 2 for Engineering (LEC) in DWE 3522 with</t>
  </si>
  <si>
    <t xml:space="preserve">  Jennifer Nelson</t>
  </si>
  <si>
    <t>LOCATION:DWE 3522</t>
  </si>
  <si>
    <t>SUMMARY:MATH 118 LEC in DWE 3522</t>
  </si>
  <si>
    <t>DTSTART;TZID=America/Toronto:20150504T090000</t>
  </si>
  <si>
    <t>DTEND;TZID=America/Toronto:20150504T102000</t>
  </si>
  <si>
    <t>RRULE:FREQ=WEEKLY;WKST=SU;UNTIL=20150728T172000Z;BYDAY=MO</t>
  </si>
  <si>
    <t>UID:Ical05b051593a282c651df9621e62f69896</t>
  </si>
  <si>
    <t>DESCRIPTION:MSCI 346-001: Database Systems (LEC) in E2 1303A with Gunes Alu</t>
  </si>
  <si>
    <t xml:space="preserve"> c</t>
  </si>
  <si>
    <t>SUMMARY:MSCI 346 LEC in E2 1303A</t>
  </si>
  <si>
    <t>DTSTART:20131021T163000Z</t>
  </si>
  <si>
    <t>DTEND:20131021T172000Z</t>
  </si>
  <si>
    <t>UID:Ical0609e99956086ef4121f26eccf598444</t>
  </si>
  <si>
    <t xml:space="preserve">DESCRIPTION:MATH 116-007: Calculus 1 for Engineering (LEC) in MC 4045 with </t>
  </si>
  <si>
    <t xml:space="preserve"> Sivabal Sivaloganathan</t>
  </si>
  <si>
    <t>LOCATION:MC 4045</t>
  </si>
  <si>
    <t>SUMMARY:MATH 116 LEC in MC 4045</t>
  </si>
  <si>
    <t>DTSTART:20131017T230000Z</t>
  </si>
  <si>
    <t>DTEND:20131018T012000Z</t>
  </si>
  <si>
    <t>UID:Ical0747f149c16d2ef81e8c238519a11bf2</t>
  </si>
  <si>
    <t>DESCRIPTION:MATH 115-201: Linear Algebra (Eng) (TST) in TBA with Staff</t>
  </si>
  <si>
    <t>LOCATION:TBA</t>
  </si>
  <si>
    <t>SUMMARY:MATH 115 TST in TBA</t>
  </si>
  <si>
    <t>DTSTART;TZID=America/Toronto:20160103T153000</t>
  </si>
  <si>
    <t>DTEND;TZID=America/Toronto:20160103T162000</t>
  </si>
  <si>
    <t>EXDATE;TZID=America/Toronto:20160103T153000</t>
  </si>
  <si>
    <t>EXDATE;TZID=America/Toronto:20160215T153000</t>
  </si>
  <si>
    <t>RRULE:FREQ=WEEKLY;UNTIL=20160405T162000Z;BYDAY=MO</t>
  </si>
  <si>
    <t>EXDATE;TZID=America/Toronto:20160404T153000</t>
  </si>
  <si>
    <t>UID:Ical08e411ed8f66b960bc13c4d0acf94bb1</t>
  </si>
  <si>
    <t>DESCRIPTION:Course Name: Operations Plan &amp; Invt'y Ctrl\nSection: 101\nInstr</t>
  </si>
  <si>
    <t xml:space="preserve"> uctor: Staff\nComponent: TUT\nClass Number: 5239\nDays/Times: M 3:30PM - 4:</t>
  </si>
  <si>
    <t xml:space="preserve"> 20PM\nStart/End Date: 01/04/2016 - 04/04/2016\nLocation: E2 1303A\n</t>
  </si>
  <si>
    <t>SUMMARY:MSCI 334 (TUT) in E2 1303A</t>
  </si>
  <si>
    <t>DTSTART:20131016T183000Z</t>
  </si>
  <si>
    <t>DTEND:20131016T192000Z</t>
  </si>
  <si>
    <t>UID:Ical0916bb52b29ad9b0b521eae512b9ad1b</t>
  </si>
  <si>
    <t>DESCRIPTION:CHE 102-010: Chemistry for Engineers (LEC) in RCH 105 with Jaso</t>
  </si>
  <si>
    <t xml:space="preserve"> n Grove</t>
  </si>
  <si>
    <t>LOCATION:RCH 105</t>
  </si>
  <si>
    <t>SUMMARY:CHE 102 LEC in RCH 105</t>
  </si>
  <si>
    <t>DTSTART:20140211T133000Z</t>
  </si>
  <si>
    <t>DTEND:20140211T142000Z</t>
  </si>
  <si>
    <t>UID:Ical0ceee65dbb5333eeb0faf4cc86b975cd</t>
  </si>
  <si>
    <t>DESCRIPTION:GENE 123-003: Electrical Engineering (LEC) in DWE 3522 with Che</t>
  </si>
  <si>
    <t xml:space="preserve"> ttypalayam Selvakumar</t>
  </si>
  <si>
    <t>SUMMARY:GENE 123 LEC in DWE 3522</t>
  </si>
  <si>
    <t>DTSTART:20131120T193000Z</t>
  </si>
  <si>
    <t>DTEND:20131120T202000Z</t>
  </si>
  <si>
    <t>UID:Ical0e0745b25a1e3be1265b4f16f098b45f</t>
  </si>
  <si>
    <t>DESCRIPTION:PHYS 115-006: Mechanics (LEC) in MC 1056 with Rohan Jayasundera</t>
  </si>
  <si>
    <t>LOCATION:MC 1056</t>
  </si>
  <si>
    <t>SUMMARY:PHYS 115 LEC in MC 1056</t>
  </si>
  <si>
    <t>DTSTART;TZID=America/Toronto:20140109T133000</t>
  </si>
  <si>
    <t>DTEND;TZID=America/Toronto:20140109T142000</t>
  </si>
  <si>
    <t>RRULE:FREQ=WEEKLY;WKST=SU;UNTIL=20140404T212000Z;BYDAY=TH</t>
  </si>
  <si>
    <t>UID:Ical15a2917a6e7469d68215307a863f4ce1</t>
  </si>
  <si>
    <t>DESCRIPTION:MSCI 261-101: Eng. Econ: Fin Mgt for Eng's (TUT) in RCH 301 wit</t>
  </si>
  <si>
    <t xml:space="preserve"> h Staff</t>
  </si>
  <si>
    <t>LOCATION:RCH 301</t>
  </si>
  <si>
    <t>SUMMARY:MSCI 261 TUT in RCH 301</t>
  </si>
  <si>
    <t>DTSTART:20140310T193000Z</t>
  </si>
  <si>
    <t>DTEND:20140310T202000Z</t>
  </si>
  <si>
    <t>UID:Ical15ce65d1a999fca4110c8d274620919c</t>
  </si>
  <si>
    <t>DTSTART:20140327T183000Z</t>
  </si>
  <si>
    <t>DTEND:20140327T192000Z</t>
  </si>
  <si>
    <t>UID:Ical1604b007c0a0d410d7380e435e4df4de</t>
  </si>
  <si>
    <t>DESCRIPTION:MSCI 131-001: Work Design &amp; Facilities Plan (LEC) in DWE 3522 w</t>
  </si>
  <si>
    <t xml:space="preserve"> ith Ada Barlatt</t>
  </si>
  <si>
    <t>SUMMARY:MSCI 131 LEC in DWE 3522</t>
  </si>
  <si>
    <t>DTSTART;TZID=America/Toronto:20140108T153000</t>
  </si>
  <si>
    <t>DTEND;TZID=America/Toronto:20140108T162000</t>
  </si>
  <si>
    <t>RRULE:FREQ=WEEKLY;WKST=SU;UNTIL=20140404T232000Z;BYDAY=WE</t>
  </si>
  <si>
    <t>UID:Ical166bf1c8aa6b1880debe783817304082</t>
  </si>
  <si>
    <t>DESCRIPTION:MSCI 261-001: Eng. Econ: Fin Mgt for Eng's (LEC) in DWE 3522 wi</t>
  </si>
  <si>
    <t xml:space="preserve"> th Mehrdad Pirnia</t>
  </si>
  <si>
    <t>SUMMARY:MSCI 261 LEC in DWE 3522</t>
  </si>
  <si>
    <t>DTSTART:20140123T193000Z</t>
  </si>
  <si>
    <t>DTEND:20140123T202000Z</t>
  </si>
  <si>
    <t>UID:Ical1834f71648c7eaecf0aa7dd4dba9524c</t>
  </si>
  <si>
    <t>DESCRIPTION:MSCI 121-001: Intro to Computer Programming (LEC) in DWE 3522 w</t>
  </si>
  <si>
    <t xml:space="preserve"> ith Mark Smucker</t>
  </si>
  <si>
    <t>SUMMARY:MSCI 121 LEC in DWE 3522</t>
  </si>
  <si>
    <t>DTSTART;TZID=America/Toronto:20140908T133000</t>
  </si>
  <si>
    <t>DTEND;TZID=America/Toronto:20140908T142000</t>
  </si>
  <si>
    <t>RRULE:FREQ=WEEKLY;WKST=SU;UNTIL=20141201T222000Z;BYDAY=MO,WE,FR</t>
  </si>
  <si>
    <t>UID:Ical18b22d6fc683261131b711abbb533a5c</t>
  </si>
  <si>
    <t>DESCRIPTION:MSCI 240-001: Algorithms &amp; Data Structures (LEC) in E2 1303A wi</t>
  </si>
  <si>
    <t xml:space="preserve"> th Mark Smucker</t>
  </si>
  <si>
    <t>SUMMARY:MSCI 240 LEC in E2 1303A</t>
  </si>
  <si>
    <t>DTSTART:20140313T183000Z</t>
  </si>
  <si>
    <t>DTEND:20140313T192000Z</t>
  </si>
  <si>
    <t>UID:Ical194650e396f8fe2278e6ea88e4307c43</t>
  </si>
  <si>
    <t>DTSTART;TZID=America/Toronto:20130913T123000</t>
  </si>
  <si>
    <t>DTEND;TZID=America/Toronto:20130913T132000</t>
  </si>
  <si>
    <t>RRULE:FREQ=WEEKLY;WKST=SU;UNTIL=20131202T212000Z;BYDAY=FR</t>
  </si>
  <si>
    <t>UID:Ical195ed45f10cc7993b29f0ce1e4fc1f5b</t>
  </si>
  <si>
    <t>DESCRIPTION:MATH 115-007: Linear Algebra (Eng) (LEC) in DWE 2527 with Marti</t>
  </si>
  <si>
    <t xml:space="preserve"> n Pei</t>
  </si>
  <si>
    <t>SUMMARY:MATH 115 LEC in DWE 2527</t>
  </si>
  <si>
    <t>DTSTART:20131202T173000Z</t>
  </si>
  <si>
    <t>DTEND:20131202T182000Z</t>
  </si>
  <si>
    <t>UID:Ical19b0e85b6f8168a49d950a1c3532b05a</t>
  </si>
  <si>
    <t>DTSTART;TZID=America/Toronto:20140110T093000</t>
  </si>
  <si>
    <t>DTEND;TZID=America/Toronto:20140110T122000</t>
  </si>
  <si>
    <t>RRULE:FREQ=WEEKLY;WKST=SU;UNTIL=20140404T192000Z;BYDAY=FR</t>
  </si>
  <si>
    <t>UID:Ical1e6115b13bc4fafbee4cf2e27f8d6925</t>
  </si>
  <si>
    <t>DESCRIPTION:GENE 123-103: Electrical Engineering (LAB) in E2 1310 with Staf</t>
  </si>
  <si>
    <t xml:space="preserve"> f</t>
  </si>
  <si>
    <t>LOCATION:E2 1310</t>
  </si>
  <si>
    <t>SUMMARY:GENE 123 LAB in E2 1310</t>
  </si>
  <si>
    <t>DTSTART:20131106T193000Z</t>
  </si>
  <si>
    <t>DTEND:20131106T202000Z</t>
  </si>
  <si>
    <t>UID:Ical1e6bb325cc525bd33e93e97e44700aff</t>
  </si>
  <si>
    <t>DTSTART;TZID=America/Toronto:20130910T123000</t>
  </si>
  <si>
    <t>DTEND;TZID=America/Toronto:20130910T132000</t>
  </si>
  <si>
    <t>EXDATE;TZID=America/Toronto:20131029T123000</t>
  </si>
  <si>
    <t>RRULE:FREQ=WEEKLY;WKST=SU;UNTIL=20131202T212000Z;BYDAY=TU,WE</t>
  </si>
  <si>
    <t>UID:Ical1f07a563319b135b08a4b6e48ebdad17</t>
  </si>
  <si>
    <t>DESCRIPTION:CHE 102-010: Chemistry for Engineers (LEC) in DWE 2527 with Jas</t>
  </si>
  <si>
    <t xml:space="preserve"> on Grove</t>
  </si>
  <si>
    <t>SUMMARY:CHE 102 LEC in DWE 2527</t>
  </si>
  <si>
    <t>DTSTART;TZID=America/Toronto:20140106T093000</t>
  </si>
  <si>
    <t>DTEND;TZID=America/Toronto:20140106T112000</t>
  </si>
  <si>
    <t>RRULE:FREQ=WEEKLY;WKST=SU;UNTIL=20140404T182000Z;BYDAY=MO</t>
  </si>
  <si>
    <t>UID:Ical1f131d31971d85a93abadb31d8bab600</t>
  </si>
  <si>
    <t>DESCRIPTION:MATH 118-106: Calculus 2 for Engineering (TUT) in DWE 1515 with</t>
  </si>
  <si>
    <t>LOCATION:DWE 1515</t>
  </si>
  <si>
    <t>SUMMARY:MATH 118 TUT in DWE 1515</t>
  </si>
  <si>
    <t>DTSTART:20140311T123000Z</t>
  </si>
  <si>
    <t>DTEND:20140311T132000Z</t>
  </si>
  <si>
    <t>UID:Ical1f55af6f6496670060e9de1952af36a5</t>
  </si>
  <si>
    <t>DTSTART;TZID=America/Toronto:20140107T123000</t>
  </si>
  <si>
    <t>DTEND;TZID=America/Toronto:20140107T132000</t>
  </si>
  <si>
    <t>RRULE:FREQ=WEEKLY;WKST=SU;UNTIL=20140404T202000Z;BYDAY=TU,TH</t>
  </si>
  <si>
    <t>UID:Ical1f61e3f7da5b2b4acd92af631be93cf8</t>
  </si>
  <si>
    <t>DESCRIPTION:MSCI 121-101: Intro to Computer Programming (TUT) in E2 1310 wi</t>
  </si>
  <si>
    <t xml:space="preserve"> th Staff</t>
  </si>
  <si>
    <t>SUMMARY:MSCI 121 TUT in E2 1310</t>
  </si>
  <si>
    <t>DTSTART:20140213T193000Z</t>
  </si>
  <si>
    <t>DTEND:20140213T202000Z</t>
  </si>
  <si>
    <t>UID:Ical2036709a42106bd4494c503ea63bacd5</t>
  </si>
  <si>
    <t>DTSTART;TZID=America/Toronto:20150504T163000</t>
  </si>
  <si>
    <t>DTEND;TZID=America/Toronto:20150504T172000</t>
  </si>
  <si>
    <t>RRULE:FREQ=WEEKLY;WKST=SU;UNTIL=20150729T002000Z;BYDAY=MO</t>
  </si>
  <si>
    <t>UID:Ical205674e52fce48ee457f05b4ae9dbfa2</t>
  </si>
  <si>
    <t xml:space="preserve">DESCRIPTION:ME 219-102: Mech of Deformable Solids 1 (TUT) in E2 1303A with </t>
  </si>
  <si>
    <t xml:space="preserve"> Staff</t>
  </si>
  <si>
    <t>SUMMARY:ME 219 TUT in E2 1303A</t>
  </si>
  <si>
    <t>DTSTART:20140116T193000Z</t>
  </si>
  <si>
    <t>DTEND:20140116T202000Z</t>
  </si>
  <si>
    <t>UID:Ical220598abcfbc89bdb1737c9f8564675d</t>
  </si>
  <si>
    <t>DTSTART;TZID=America/Toronto:20130911T133000</t>
  </si>
  <si>
    <t>DTEND;TZID=America/Toronto:20130911T142000</t>
  </si>
  <si>
    <t>RRULE:FREQ=WEEKLY;WKST=SU;UNTIL=20131202T222000Z;BYDAY=WE</t>
  </si>
  <si>
    <t>UID:Ical22a2ccb6444e85ddcac62908db2272c6</t>
  </si>
  <si>
    <t>DTSTART;TZID=America/Toronto:20150505T130000</t>
  </si>
  <si>
    <t>DTEND;TZID=America/Toronto:20150505T155000</t>
  </si>
  <si>
    <t>RRULE:FREQ=WEEKLY;WKST=SU;UNTIL=20150728T225000Z;BYDAY=TU</t>
  </si>
  <si>
    <t>UID:Ical244892429f38d9b7d89d808edcd3d35e</t>
  </si>
  <si>
    <t>DESCRIPTION:MSCI 346-201: Database Systems (LAB) in CPH 4335 with Gunes Alu</t>
  </si>
  <si>
    <t>SUMMARY:MSCI 346 LAB in CPH 4335</t>
  </si>
  <si>
    <t>DTSTART;TZID=America/Toronto:20140910T113000</t>
  </si>
  <si>
    <t>DTEND;TZID=America/Toronto:20140910T122000</t>
  </si>
  <si>
    <t>RRULE:FREQ=WEEKLY;WKST=SU;UNTIL=20141201T202000Z;BYDAY=WE</t>
  </si>
  <si>
    <t>UID:Ical2c8e3d4a77d7a72b1093dfe371fc90e8</t>
  </si>
  <si>
    <t>DESCRIPTION:MSCI 200A-001: Seminar (LEC) in E2 1303A with Mark Smucker</t>
  </si>
  <si>
    <t>SUMMARY:MSCI 200A LEC in E2 1303A</t>
  </si>
  <si>
    <t>DTSTART;TZID=America/Toronto:20160103T123000</t>
  </si>
  <si>
    <t>DTEND;TZID=America/Toronto:20160103T135000</t>
  </si>
  <si>
    <t>EXDATE;TZID=America/Toronto:20160103T123000</t>
  </si>
  <si>
    <t>EXDATE;TZID=America/Toronto:20160216T123000</t>
  </si>
  <si>
    <t>EXDATE;TZID=America/Toronto:20160218T123000</t>
  </si>
  <si>
    <t>RRULE:FREQ=WEEKLY;UNTIL=20160405T135000Z;BYDAY=TU,TH</t>
  </si>
  <si>
    <t>UID:Ical2ef51e8374373acd52bb1da15887a0fe</t>
  </si>
  <si>
    <t>DESCRIPTION:Course Name: Operations Plan &amp; Invt'y Ctrl\nSection: 001\nInstr</t>
  </si>
  <si>
    <t xml:space="preserve"> uctor: James Bookbinder\nComponent: LEC\nClass Number: 5238\nDays/Times: TT</t>
  </si>
  <si>
    <t xml:space="preserve"> h 12:30PM - 1:50PM\nStart/End Date: 01/04/2016 - 04/04/2016\nLocation: E2 1</t>
  </si>
  <si>
    <t xml:space="preserve"> 303A\n</t>
  </si>
  <si>
    <t>SUMMARY:MSCI 334 (LEC) in E2 1303A</t>
  </si>
  <si>
    <t>DTSTART;TZID=America/Toronto:20140912T123000</t>
  </si>
  <si>
    <t>DTEND;TZID=America/Toronto:20140912T132000</t>
  </si>
  <si>
    <t>RRULE:FREQ=WEEKLY;WKST=SU;UNTIL=20141201T212000Z;BYDAY=FR</t>
  </si>
  <si>
    <t>UID:Ical32546f992fbf26c55d33863b03f25555</t>
  </si>
  <si>
    <t>DESCRIPTION:MSCI 240-101: Algorithms &amp; Data Structures (TUT) in E2 1303A wi</t>
  </si>
  <si>
    <t xml:space="preserve"> th Burak Can Yildiz</t>
  </si>
  <si>
    <t>SUMMARY:MSCI 240 TUT in E2 1303A</t>
  </si>
  <si>
    <t>DTSTART;TZID=America/Toronto:20140909T130000</t>
  </si>
  <si>
    <t>DTEND;TZID=America/Toronto:20140909T142000</t>
  </si>
  <si>
    <t>RRULE:FREQ=WEEKLY;WKST=SU;UNTIL=20141201T222000Z;BYDAY=TU</t>
  </si>
  <si>
    <t>UID:Ical351a38c8d28cd2e1610512a3bcb44a99</t>
  </si>
  <si>
    <t>DESCRIPTION:ME 235-001: Materials Science &amp; Eng (LEC) in E2 1303A with Must</t>
  </si>
  <si>
    <t xml:space="preserve"> afa Yavuz</t>
  </si>
  <si>
    <t>SUMMARY:ME 235 LEC in E2 1303A</t>
  </si>
  <si>
    <t>DTSTART;TZID=America/Toronto:20130913T133000</t>
  </si>
  <si>
    <t>DTEND;TZID=America/Toronto:20130913T142000</t>
  </si>
  <si>
    <t>RRULE:FREQ=WEEKLY;WKST=SU;UNTIL=20131202T222000Z;BYDAY=FR</t>
  </si>
  <si>
    <t>UID:Ical37191f5224e4dfbe846a042df014978e</t>
  </si>
  <si>
    <t>DESCRIPTION:PHYS 115-006: Mechanics (LEC) in RCH 307 with Rohan Jayasundera</t>
  </si>
  <si>
    <t>LOCATION:RCH 307</t>
  </si>
  <si>
    <t>SUMMARY:PHYS 115 LEC in RCH 307</t>
  </si>
  <si>
    <t>DTSTART;TZID=America/Toronto:20140110T143000</t>
  </si>
  <si>
    <t>DTEND;TZID=America/Toronto:20140110T152000</t>
  </si>
  <si>
    <t>RRULE:FREQ=WEEKLY;WKST=SU;UNTIL=20140404T222000Z;BYDAY=FR</t>
  </si>
  <si>
    <t>UID:Ical3cf66843339409b887a6e51e7be3d27c</t>
  </si>
  <si>
    <t>DTSTART;TZID=America/Toronto:20150506T153000</t>
  </si>
  <si>
    <t>DTEND;TZID=America/Toronto:20150506T162000</t>
  </si>
  <si>
    <t>RRULE:FREQ=WEEKLY;WKST=SU;UNTIL=20150728T232000Z;BYDAY=WE</t>
  </si>
  <si>
    <t>UID:Ical474927d24d99737712218a2bb210e4a9</t>
  </si>
  <si>
    <t>DESCRIPTION:MSCI 331-101: Intro to Optimization (TUT) in E2 1303 with Ozden</t>
  </si>
  <si>
    <t xml:space="preserve">  Dalgic</t>
  </si>
  <si>
    <t>LOCATION:E2 1303</t>
  </si>
  <si>
    <t>SUMMARY:MSCI 331 TUT in E2 1303</t>
  </si>
  <si>
    <t>DTSTART;TZID=America/Toronto:20140908T143000</t>
  </si>
  <si>
    <t>DTEND;TZID=America/Toronto:20140908T152000</t>
  </si>
  <si>
    <t>RRULE:FREQ=WEEKLY;WKST=SU;UNTIL=20141201T232000Z;BYDAY=MO</t>
  </si>
  <si>
    <t>UID:Ical48804a0a2d1a753a68e788c036a9adb3</t>
  </si>
  <si>
    <t>DESCRIPTION:MSCI 262-001: Managerial &amp; Cost Accounting (LEC) in E2 1303A wi</t>
  </si>
  <si>
    <t xml:space="preserve"> th Thomas Manning</t>
  </si>
  <si>
    <t>SUMMARY:MSCI 262 LEC in E2 1303A</t>
  </si>
  <si>
    <t>DTSTART:20140113T203000Z</t>
  </si>
  <si>
    <t>DTEND:20140113T212000Z</t>
  </si>
  <si>
    <t>UID:Ical49d9e696e8fa63ed54f35feac25d23c2</t>
  </si>
  <si>
    <t>DTSTART:20140121T133000Z</t>
  </si>
  <si>
    <t>DTEND:20140121T142000Z</t>
  </si>
  <si>
    <t>UID:Ical49fae8fb995dcc597db6d3cf4b6918b0</t>
  </si>
  <si>
    <t>DESCRIPTION:PHYS 125-002: Physics for Engineers (LEC) in RCH 105 with Rohan</t>
  </si>
  <si>
    <t xml:space="preserve">  Jayasundera</t>
  </si>
  <si>
    <t>SUMMARY:PHYS 125 LEC in RCH 105</t>
  </si>
  <si>
    <t>DTSTART;TZID=America/Toronto:20130910T153000</t>
  </si>
  <si>
    <t>DTEND;TZID=America/Toronto:20130910T162000</t>
  </si>
  <si>
    <t>EXDATE;TZID=America/Toronto:20131029T153000</t>
  </si>
  <si>
    <t>RRULE:FREQ=WEEKLY;WKST=SU;UNTIL=20131203T002000Z;BYDAY=TU</t>
  </si>
  <si>
    <t>UID:Ical4a1954d9ba1f64c0aec9f2ddf7ce9bfe</t>
  </si>
  <si>
    <t>DESCRIPTION:MATH 115-007: Linear Algebra (Eng) (LEC) in RCH 211 with Martin</t>
  </si>
  <si>
    <t xml:space="preserve">  Pei</t>
  </si>
  <si>
    <t>LOCATION:RCH 211</t>
  </si>
  <si>
    <t>SUMMARY:MATH 115 LEC in RCH 211</t>
  </si>
  <si>
    <t>DTSTART;TZID=America/Toronto:20140911T160000</t>
  </si>
  <si>
    <t>DTEND;TZID=America/Toronto:20140911T165000</t>
  </si>
  <si>
    <t>RRULE:FREQ=WEEKLY;WKST=SU;UNTIL=20141202T005000Z;BYDAY=TH</t>
  </si>
  <si>
    <t>UID:Ical4c5619f1fb38828aebb031c7158491e5</t>
  </si>
  <si>
    <t>DESCRIPTION:MSCI 262-101: Managerial &amp; Cost Accounting (TUT) in E2 1303A wi</t>
  </si>
  <si>
    <t xml:space="preserve"> th Chenyu Wang</t>
  </si>
  <si>
    <t>SUMMARY:MSCI 262 TUT in E2 1303A</t>
  </si>
  <si>
    <t>DTSTART:20140128T133000Z</t>
  </si>
  <si>
    <t>DTEND:20140128T142000Z</t>
  </si>
  <si>
    <t>UID:Ical4d5a632443d4e9348c96999e9991fba6</t>
  </si>
  <si>
    <t>DTSTART;TZID=America/Toronto:20150505T090000</t>
  </si>
  <si>
    <t>DTEND;TZID=America/Toronto:20150505T102000</t>
  </si>
  <si>
    <t>RRULE:FREQ=WEEKLY;WKST=SU;UNTIL=20150728T172000Z;BYDAY=TU,TH</t>
  </si>
  <si>
    <t>UID:Ical4df12d8a4b5e60346379c60c27da88ee</t>
  </si>
  <si>
    <t xml:space="preserve">DESCRIPTION:ME 219-001: Mech of Deformable Solids 1 (LEC) in E2 1303A with </t>
  </si>
  <si>
    <t xml:space="preserve"> Hyock Ju Kwon</t>
  </si>
  <si>
    <t>SUMMARY:ME 219 LEC in E2 1303A</t>
  </si>
  <si>
    <t>DTSTART:20140130T193000Z</t>
  </si>
  <si>
    <t>DTEND:20140130T202000Z</t>
  </si>
  <si>
    <t>UID:Ical5039d5542048eec64bb29b9a7a778fb3</t>
  </si>
  <si>
    <t>DTSTART;TZID=America/Toronto:20140911T140000</t>
  </si>
  <si>
    <t>DTEND;TZID=America/Toronto:20140911T155000</t>
  </si>
  <si>
    <t>RRULE:FREQ=WEEKLY;WKST=SU;UNTIL=20141201T235000Z;BYDAY=TH</t>
  </si>
  <si>
    <t>UID:Ical506fac05bc52a38d0c63bedcf1bfac48</t>
  </si>
  <si>
    <t>DESCRIPTION:MSCI 271-001: Advanced Calc. &amp; Num. Methods (LEC) in E2 1303A w</t>
  </si>
  <si>
    <t xml:space="preserve"> ith Meisam Soltani Koopa</t>
  </si>
  <si>
    <t>SUMMARY:MSCI 271 LEC in E2 1303A</t>
  </si>
  <si>
    <t>DTSTART;TZID=America/Toronto:20150506T123000</t>
  </si>
  <si>
    <t>DTEND;TZID=America/Toronto:20150506T132000</t>
  </si>
  <si>
    <t>RRULE:FREQ=WEEKLY;WKST=SU;UNTIL=20150728T202000Z;BYDAY=WE</t>
  </si>
  <si>
    <t>UID:Ical5071b9309e72e349027f73bdedce5816</t>
  </si>
  <si>
    <t>DESCRIPTION:MSCI 200B-001: Seminar (LEC) in E2 1303 with Kenneth McKay</t>
  </si>
  <si>
    <t>SUMMARY:MSCI 200B LEC in E2 1303</t>
  </si>
  <si>
    <t>DTSTART;TZID=America/Toronto:20140108T093000</t>
  </si>
  <si>
    <t>DTEND;TZID=America/Toronto:20140108T112000</t>
  </si>
  <si>
    <t>RRULE:FREQ=WEEKLY;WKST=SU;UNTIL=20140404T182000Z;BYDAY=WE</t>
  </si>
  <si>
    <t>UID:Ical527ac777f4de1e4705fa8033493ff8d4</t>
  </si>
  <si>
    <t>DESCRIPTION:PHYS 125-103: Physics for Engineers (TUT) in DWE 1515 with Roha</t>
  </si>
  <si>
    <t xml:space="preserve"> n Jayasundera</t>
  </si>
  <si>
    <t>SUMMARY:PHYS 125 TUT in DWE 1515</t>
  </si>
  <si>
    <t>DTSTART;TZID=America/Toronto:20140908T153000</t>
  </si>
  <si>
    <t>DTEND;TZID=America/Toronto:20140908T165000</t>
  </si>
  <si>
    <t>RRULE:FREQ=WEEKLY;WKST=SU;UNTIL=20141202T005000Z;BYDAY=MO</t>
  </si>
  <si>
    <t>UID:Ical532b663941b35f81b49c5f0da7f011e7</t>
  </si>
  <si>
    <t>DTEND;TZID=America/Toronto:20160103T132000</t>
  </si>
  <si>
    <t>EXDATE;TZID=America/Toronto:20160219T123000</t>
  </si>
  <si>
    <t>RRULE:FREQ=WEEKLY;UNTIL=20160405T132000Z;BYDAY=FR</t>
  </si>
  <si>
    <t>UID:Ical53edf534b268e14eda0ff0cb55d62392</t>
  </si>
  <si>
    <t>DESCRIPTION:Course Name: Info Systems Analysis &amp; Design\nSection: 101\nInst</t>
  </si>
  <si>
    <t xml:space="preserve"> ructor: Staff\nComponent: TUT\nClass Number: 5255\nDays/Times: F 12:30PM - </t>
  </si>
  <si>
    <t xml:space="preserve"> 1:20PM\nStart/End Date: 01/04/2016 - 04/04/2016\nLocation: E2 1303A\n</t>
  </si>
  <si>
    <t>SUMMARY:MSCI 444 (TUT) in E2 1303A</t>
  </si>
  <si>
    <t>DTSTART;TZID=America/Toronto:20140909T160000</t>
  </si>
  <si>
    <t>DTEND;TZID=America/Toronto:20140909T175000</t>
  </si>
  <si>
    <t>RRULE:FREQ=WEEKLY;WKST=SU;UNTIL=20141202T015000Z;BYDAY=TU</t>
  </si>
  <si>
    <t>UID:Ical57c402ad3029061a5bfc8d02bc5d67e0</t>
  </si>
  <si>
    <t>DESCRIPTION:MSCI 271-101: Advanced Calc. &amp; Num. Methods (TUT) in E2 1303A w</t>
  </si>
  <si>
    <t xml:space="preserve"> ith Majid Karimi</t>
  </si>
  <si>
    <t>SUMMARY:MSCI 271 TUT in E2 1303A</t>
  </si>
  <si>
    <t>DTSTART:20130918T183000Z</t>
  </si>
  <si>
    <t>DTEND:20130918T192000Z</t>
  </si>
  <si>
    <t>UID:Ical58597563dbcf69b103943b5a9feb91a0</t>
  </si>
  <si>
    <t>DTSTART:20140206T193000Z</t>
  </si>
  <si>
    <t>DTEND:20140206T202000Z</t>
  </si>
  <si>
    <t>UID:Ical58c2be136056206059976a1f9a410bf8</t>
  </si>
  <si>
    <t>DTSTART;TZID=America/Toronto:20130911T093000</t>
  </si>
  <si>
    <t>DTEND;TZID=America/Toronto:20130911T112000</t>
  </si>
  <si>
    <t>RRULE:FREQ=WEEKLY;WKST=SU;UNTIL=20131202T192000Z;BYDAY=WE</t>
  </si>
  <si>
    <t>UID:Ical5902d9dc64ad7176982af1a7b898be13</t>
  </si>
  <si>
    <t>DESCRIPTION:MATH 116-116: Calculus 1 for Engineering (TUT) in DWE 1515 with</t>
  </si>
  <si>
    <t xml:space="preserve">  Sivabal Sivaloganathan</t>
  </si>
  <si>
    <t>SUMMARY:MATH 116 TUT in DWE 1515</t>
  </si>
  <si>
    <t>DTSTART:20131113T193000Z</t>
  </si>
  <si>
    <t>DTEND:20131113T202000Z</t>
  </si>
  <si>
    <t>UID:Ical5df8bef13e8c398ab5fe3d9d49756bee</t>
  </si>
  <si>
    <t>DTSTART:20131104T173000Z</t>
  </si>
  <si>
    <t>DTEND:20131104T182000Z</t>
  </si>
  <si>
    <t>UID:Ical60a2a54550d75c27be1c468012f9753e</t>
  </si>
  <si>
    <t>DTSTART;TZID=America/Toronto:20150504T123000</t>
  </si>
  <si>
    <t>DTEND;TZID=America/Toronto:20150504T132000</t>
  </si>
  <si>
    <t>RRULE:FREQ=WEEKLY;WKST=SU;UNTIL=20150728T202000Z;BYDAY=MO</t>
  </si>
  <si>
    <t>UID:Ical617dc6197d572fe146e4697ffee8c3d6</t>
  </si>
  <si>
    <t>DESCRIPTION:MSCI 252-101: Prob. &amp; Stats for Engineers (TUT) in CPH 4335 wit</t>
  </si>
  <si>
    <t xml:space="preserve"> h Taghi Khaniyev</t>
  </si>
  <si>
    <t>SUMMARY:MSCI 252 TUT in CPH 4335</t>
  </si>
  <si>
    <t>DTSTART;TZID=America/Toronto:20130909T133000</t>
  </si>
  <si>
    <t>DTEND;TZID=America/Toronto:20130909T142000</t>
  </si>
  <si>
    <t>RRULE:FREQ=WEEKLY;WKST=SU;UNTIL=20131202T222000Z;BYDAY=MO</t>
  </si>
  <si>
    <t>UID:Ical62519931b014304b6de477096e64ef6e</t>
  </si>
  <si>
    <t>DESCRIPTION:MATH 115-007: Linear Algebra (Eng) (LEC) in MC 1056 with Martin</t>
  </si>
  <si>
    <t>SUMMARY:MATH 115 LEC in MC 1056</t>
  </si>
  <si>
    <t>DTSTART;TZID=America/Toronto:20140108T163000</t>
  </si>
  <si>
    <t>DTEND;TZID=America/Toronto:20140108T172000</t>
  </si>
  <si>
    <t>RRULE:FREQ=WEEKLY;WKST=SU;UNTIL=20140405T002000Z;BYDAY=WE</t>
  </si>
  <si>
    <t>UID:Ical64073173e6de2cee9dbe20eb92f8df4b</t>
  </si>
  <si>
    <t>DESCRIPTION:MSCI 100B-001: Seminar (SEM) in DWE 3522 with Ada Barlatt</t>
  </si>
  <si>
    <t>SUMMARY:MSCI 100B SEM in DWE 3522</t>
  </si>
  <si>
    <t>DTSTART:20140203T203000Z</t>
  </si>
  <si>
    <t>DTEND:20140203T212000Z</t>
  </si>
  <si>
    <t>UID:Ical64c51c8f4f5511c6af8f132f0b33b1c1</t>
  </si>
  <si>
    <t>DTSTART:20131023T183000Z</t>
  </si>
  <si>
    <t>DTEND:20131023T192000Z</t>
  </si>
  <si>
    <t>UID:Ical668e8b6f3d1aa17f38d98eb5ddf5f45b</t>
  </si>
  <si>
    <t>DTSTART:20140206T133000Z</t>
  </si>
  <si>
    <t>DTEND:20140206T162000Z</t>
  </si>
  <si>
    <t>UID:Ical6a6ce2b0eaef6e2fa36c26eb16787ac9</t>
  </si>
  <si>
    <t>DESCRIPTION:MSCI 131-101: Work Design &amp; Facilities Plan (LAB) in E2 1303A w</t>
  </si>
  <si>
    <t xml:space="preserve"> ith Staff</t>
  </si>
  <si>
    <t>SUMMARY:MSCI 131 LAB in E2 1303A</t>
  </si>
  <si>
    <t>DTSTART;TZID=America/Toronto:20150504T103000</t>
  </si>
  <si>
    <t>DTEND;TZID=America/Toronto:20150504T115000</t>
  </si>
  <si>
    <t>RRULE:FREQ=WEEKLY;WKST=SU;UNTIL=20150728T185000Z;BYDAY=MO,WE</t>
  </si>
  <si>
    <t>UID:Ical6b95d7d72731d66606474bcdfad6a4a5</t>
  </si>
  <si>
    <t>DESCRIPTION:MSCI 263-001: Managerial Economics (LEC) in E2 1303A with Selcu</t>
  </si>
  <si>
    <t xml:space="preserve"> k Onay</t>
  </si>
  <si>
    <t>SUMMARY:MSCI 263 LEC in E2 1303A</t>
  </si>
  <si>
    <t>DTSTART:20131010T193000Z</t>
  </si>
  <si>
    <t>DTEND:20131010T202000Z</t>
  </si>
  <si>
    <t>UID:Ical6c2ec58d99260d5b471ca0d56365ab6a</t>
  </si>
  <si>
    <t>DTSTART;TZID=America/Toronto:20160103T143000</t>
  </si>
  <si>
    <t>EXDATE;TZID=America/Toronto:20160103T143000</t>
  </si>
  <si>
    <t>EXDATE;TZID=America/Toronto:20160120T143000</t>
  </si>
  <si>
    <t>EXDATE;TZID=America/Toronto:20160217T143000</t>
  </si>
  <si>
    <t>RRULE:FREQ=WEEKLY;UNTIL=20160405T162000Z;BYDAY=WE</t>
  </si>
  <si>
    <t>UID:Ical6c60838a787c2d2955c6af7b5d13646b</t>
  </si>
  <si>
    <t>DESCRIPTION:Course Name: Operations Plan &amp; Invt'y Ctrl\nSection: 201\nInstr</t>
  </si>
  <si>
    <t xml:space="preserve"> uctor: James Bookbinder\nComponent: LAB\nClass Number: 5240\nDays/Times: W </t>
  </si>
  <si>
    <t xml:space="preserve"> 2:30PM - 4:20PM\nStart/End Date: 01/04/2016 - 04/04/2016\nLocation: E2 1303</t>
  </si>
  <si>
    <t xml:space="preserve"> A\n</t>
  </si>
  <si>
    <t>SUMMARY:MSCI 334 (LAB) in E2 1303A</t>
  </si>
  <si>
    <t>DTSTART;TZID=America/Toronto:20150506T133000</t>
  </si>
  <si>
    <t>DTEND;TZID=America/Toronto:20150506T152000</t>
  </si>
  <si>
    <t>RRULE:FREQ=WEEKLY;WKST=SU;UNTIL=20150728T222000Z;BYDAY=WE</t>
  </si>
  <si>
    <t>UID:Ical6d65c506aae2a11f40bdef47d4373238</t>
  </si>
  <si>
    <t>DESCRIPTION:MSCI 211-002: Organizational Behaviour (LEC) in E2 1303 with Mo</t>
  </si>
  <si>
    <t xml:space="preserve"> hammad-Mahdi Roghanizad</t>
  </si>
  <si>
    <t>SUMMARY:MSCI 211 LEC in E2 1303</t>
  </si>
  <si>
    <t>DTSTART;TZID=America/Toronto:20140106T123000</t>
  </si>
  <si>
    <t>DTEND;TZID=America/Toronto:20140106T132000</t>
  </si>
  <si>
    <t>RRULE:FREQ=WEEKLY;WKST=SU;UNTIL=20140404T202000Z;BYDAY=MO,WE</t>
  </si>
  <si>
    <t>UID:Ical6df525bcd77e3fe321bdd3586f145f13</t>
  </si>
  <si>
    <t>DTSTART;TZID=America/Toronto:20130909T153000</t>
  </si>
  <si>
    <t>DTEND;TZID=America/Toronto:20130909T162000</t>
  </si>
  <si>
    <t>RRULE:FREQ=WEEKLY;WKST=SU;UNTIL=20131203T002000Z;BYDAY=MO,WE,FR</t>
  </si>
  <si>
    <t>UID:Ical70275ab95fbeb926eeeb087b56e02565</t>
  </si>
  <si>
    <t xml:space="preserve">DESCRIPTION:MATH 116-007: Calculus 1 for Engineering (LEC) in RCH 307 with </t>
  </si>
  <si>
    <t>SUMMARY:MATH 116 LEC in RCH 307</t>
  </si>
  <si>
    <t>DTSTART;TZID=America/Toronto:20140910T143000</t>
  </si>
  <si>
    <t>DTEND;TZID=America/Toronto:20140910T162000</t>
  </si>
  <si>
    <t>RRULE:FREQ=WEEKLY;WKST=SU;UNTIL=20141202T002000Z;BYDAY=WE</t>
  </si>
  <si>
    <t>UID:Ical70703e0e670c0dfa50d4136db8ffaf76</t>
  </si>
  <si>
    <t>DTSTART:20140325T123000Z</t>
  </si>
  <si>
    <t>DTEND:20140325T132000Z</t>
  </si>
  <si>
    <t>UID:Ical71216c98543a016098ce2f5dc4f3ff33</t>
  </si>
  <si>
    <t>DTSTART:20140303T203000Z</t>
  </si>
  <si>
    <t>DTEND:20140303T212000Z</t>
  </si>
  <si>
    <t>UID:Ical7201c92265db52055b2fc0a122281e65</t>
  </si>
  <si>
    <t>DTSTART:20140320T183000Z</t>
  </si>
  <si>
    <t>DTEND:20140320T192000Z</t>
  </si>
  <si>
    <t>UID:Ical731c645fc9bb0042c57c62ec285286e0</t>
  </si>
  <si>
    <t>DTSTART;TZID=America/Toronto:20140107T103000</t>
  </si>
  <si>
    <t>DTEND;TZID=America/Toronto:20140107T112000</t>
  </si>
  <si>
    <t>RRULE:FREQ=WEEKLY;WKST=SU;UNTIL=20140404T182000Z;BYDAY=TU</t>
  </si>
  <si>
    <t>UID:Ical7384b451456978b03e795893ace02968</t>
  </si>
  <si>
    <t>DESCRIPTION:GENE 123-203: Electrical Engineering (TUT) in DWE 3522 with Sta</t>
  </si>
  <si>
    <t xml:space="preserve"> ff</t>
  </si>
  <si>
    <t>SUMMARY:GENE 123 TUT in DWE 3522</t>
  </si>
  <si>
    <t>DTSTART;TZID=America/Toronto:20160103T103000</t>
  </si>
  <si>
    <t>DTEND;TZID=America/Toronto:20160103T115000</t>
  </si>
  <si>
    <t>EXDATE;TZID=America/Toronto:20160103T103000</t>
  </si>
  <si>
    <t>EXDATE;TZID=America/Toronto:20160218T103000</t>
  </si>
  <si>
    <t>RRULE:FREQ=WEEKLY;UNTIL=20160405T115000Z;BYDAY=TH</t>
  </si>
  <si>
    <t>UID:Ical771a60b40e63b98b5187bd7417dc07d1</t>
  </si>
  <si>
    <t>DESCRIPTION:Course Name: Decision Support Systems\nSection: 001\nInstructor</t>
  </si>
  <si>
    <t xml:space="preserve"> : Stanko Dimitrov\nComponent: LEC\nClass Number: 5252\nDays/Times: Th 10:30</t>
  </si>
  <si>
    <t xml:space="preserve"> AM - 11:50AM\nStart/End Date: 01/04/2016 - 04/04/2016\nLocation: E2 1303A\n</t>
  </si>
  <si>
    <t>SUMMARY:MSCI 436 (LEC) in E2 1303A</t>
  </si>
  <si>
    <t>DTSTART:20140123T133000Z</t>
  </si>
  <si>
    <t>DTEND:20140123T162000Z</t>
  </si>
  <si>
    <t>UID:Ical7a880e1f27f8ae93359c0d7572fdd34c</t>
  </si>
  <si>
    <t>DTSTART;TZID=America/Toronto:20150505T103000</t>
  </si>
  <si>
    <t>DTEND;TZID=America/Toronto:20150505T115000</t>
  </si>
  <si>
    <t>RRULE:FREQ=WEEKLY;WKST=SU;UNTIL=20150728T185000Z;BYDAY=TU,FR</t>
  </si>
  <si>
    <t>UID:Ical7c0ed85c9596dc4dc18a9becad9e27cf</t>
  </si>
  <si>
    <t>DESCRIPTION:MSCI 252-001: Prob. &amp; Stats for Engineers (LEC) in E2 1303A wit</t>
  </si>
  <si>
    <t xml:space="preserve"> h Ahmed Saif</t>
  </si>
  <si>
    <t>SUMMARY:MSCI 252 LEC in E2 1303A</t>
  </si>
  <si>
    <t>DTEND;TZID=America/Toronto:20160103T122000</t>
  </si>
  <si>
    <t>EXDATE;TZID=America/Toronto:20160215T103000</t>
  </si>
  <si>
    <t>RRULE:FREQ=WEEKLY;UNTIL=20160405T122000Z;BYDAY=MO</t>
  </si>
  <si>
    <t>EXDATE;TZID=America/Toronto:20160404T103000</t>
  </si>
  <si>
    <t>UID:Ical7cc67699b133c34b94f9684fe843b3a5</t>
  </si>
  <si>
    <t>DESCRIPTION:Course Name: Info Systems Analysis &amp; Design\nSection: 001\nInst</t>
  </si>
  <si>
    <t xml:space="preserve"> ructor: Olga Vechtomova\nComponent: LEC\nClass Number: 5254\nDays/Times: M </t>
  </si>
  <si>
    <t xml:space="preserve"> 10:30AM - 12:20PM\nStart/End Date: 01/04/2016 - 04/04/2016\nLocation: E2 13</t>
  </si>
  <si>
    <t xml:space="preserve"> 03A\n</t>
  </si>
  <si>
    <t>SUMMARY:MSCI 444 (LEC) in E2 1303A</t>
  </si>
  <si>
    <t>DTSTART:20160208T153000Z</t>
  </si>
  <si>
    <t>DTEND:20160208T172000Z</t>
  </si>
  <si>
    <t>RECURRENCE-ID:20160208T153000Z</t>
  </si>
  <si>
    <t xml:space="preserve"> 03A</t>
  </si>
  <si>
    <t>SUMMARY:MSCI 444 Midterm in EIT 1015</t>
  </si>
  <si>
    <t>DTSTART:20140114T133000Z</t>
  </si>
  <si>
    <t>DTEND:20140114T142000Z</t>
  </si>
  <si>
    <t>UID:Ical7f62cf6e58722268ed2cc2ff6ebc8b56</t>
  </si>
  <si>
    <t>DTSTART;TZID=America/Toronto:20130909T143000</t>
  </si>
  <si>
    <t>DTEND;TZID=America/Toronto:20130909T152000</t>
  </si>
  <si>
    <t>RRULE:FREQ=WEEKLY;WKST=SU;UNTIL=20131202T232000Z;BYDAY=MO</t>
  </si>
  <si>
    <t>UID:Ical80d9e91a4426efbb9444eef5c741a3bb</t>
  </si>
  <si>
    <t>DESCRIPTION:PHYS 115-006: Mechanics (LEC) in RCH 211 with Rohan Jayasundera</t>
  </si>
  <si>
    <t>SUMMARY:PHYS 115 LEC in RCH 211</t>
  </si>
  <si>
    <t>DTSTART:20131028T163000Z</t>
  </si>
  <si>
    <t>DTEND:20131028T172000Z</t>
  </si>
  <si>
    <t>UID:Ical831b26aa957112e97b3b80dd9d5ba977</t>
  </si>
  <si>
    <t>DESCRIPTION:MSCI 100-001: Management Eng. Concepts (LEC) in DWE 2527 with B</t>
  </si>
  <si>
    <t>SUMMARY:MSCI 100 LEC in DWE 2527</t>
  </si>
  <si>
    <t>DTSTART:20130923T163000Z</t>
  </si>
  <si>
    <t>DTEND:20130923T172000Z</t>
  </si>
  <si>
    <t>UID:Ical857454e31da12d1d9f6f448ba178ac5b</t>
  </si>
  <si>
    <t>DTSTART:20131030T183000Z</t>
  </si>
  <si>
    <t>DTEND:20131030T192000Z</t>
  </si>
  <si>
    <t>UID:Ical882418197c69d6659f04f945cfc752ff</t>
  </si>
  <si>
    <t>DTSTART;TZID=America/Toronto:20130912T133000</t>
  </si>
  <si>
    <t>DTEND;TZID=America/Toronto:20130912T152000</t>
  </si>
  <si>
    <t>RRULE:FREQ=WEEKLY;WKST=SU;UNTIL=20131202T232000Z;BYDAY=TH</t>
  </si>
  <si>
    <t>UID:Ical88305e42bdbf560787a2ded791f12d8a</t>
  </si>
  <si>
    <t>DESCRIPTION:CHE 102-133: Chemistry for Engineers (TUT) in MC 4064 with Baol</t>
  </si>
  <si>
    <t xml:space="preserve"> ing Chen</t>
  </si>
  <si>
    <t>LOCATION:MC 4064</t>
  </si>
  <si>
    <t>SUMMARY:CHE 102 TUT in MC 4064</t>
  </si>
  <si>
    <t>DTSTART;TZID=America/Toronto:20130910T133000</t>
  </si>
  <si>
    <t>DTEND;TZID=America/Toronto:20130910T152000</t>
  </si>
  <si>
    <t>EXDATE;TZID=America/Toronto:20131029T133000</t>
  </si>
  <si>
    <t>RRULE:FREQ=WEEKLY;WKST=SU;UNTIL=20131202T232000Z;BYDAY=TU</t>
  </si>
  <si>
    <t>UID:Ical8869c8b747805aaebbb5a6e9e9a942a9</t>
  </si>
  <si>
    <t>DESCRIPTION:MSCI 100-201: Management Eng. Concepts (TUT) in PHY 150 with Bi</t>
  </si>
  <si>
    <t xml:space="preserve"> nyamin Mantin</t>
  </si>
  <si>
    <t>LOCATION:PHY 150</t>
  </si>
  <si>
    <t>SUMMARY:MSCI 100 TUT in PHY 150</t>
  </si>
  <si>
    <t>DTSTART;TZID=America/Toronto:20140908T123000</t>
  </si>
  <si>
    <t>DTEND;TZID=America/Toronto:20140908T132000</t>
  </si>
  <si>
    <t>RRULE:FREQ=WEEKLY;WKST=SU;UNTIL=20141201T212000Z;BYDAY=MO</t>
  </si>
  <si>
    <t>UID:Ical8a4a52070bc5d3a35c5afb6e1ba34372</t>
  </si>
  <si>
    <t>DTSTART;TZID=America/Toronto:20130913T143000</t>
  </si>
  <si>
    <t>DTEND;TZID=America/Toronto:20130913T152000</t>
  </si>
  <si>
    <t>RRULE:FREQ=WEEKLY;WKST=SU;UNTIL=20131202T232000Z;BYDAY=FR</t>
  </si>
  <si>
    <t>UID:Ical8ae8eaba8b9bd311fc5c9eada778fb51</t>
  </si>
  <si>
    <t>DESCRIPTION:CHE 102-010: Chemistry for Engineers (LEC) in RCH 211 with Jaso</t>
  </si>
  <si>
    <t>SUMMARY:CHE 102 LEC in RCH 211</t>
  </si>
  <si>
    <t>DTSTART:20131111T173000Z</t>
  </si>
  <si>
    <t>DTEND:20131111T182000Z</t>
  </si>
  <si>
    <t>UID:Ical8b70ecb0a63c3e0db69660aa0287b82a</t>
  </si>
  <si>
    <t>DTSTART:20140120T203000Z</t>
  </si>
  <si>
    <t>DTEND:20140120T212000Z</t>
  </si>
  <si>
    <t>UID:Ical8fa31fde62ac6e43ee8b5d97117fcc96</t>
  </si>
  <si>
    <t>DTSTART:20140327T123000Z</t>
  </si>
  <si>
    <t>DTEND:20140327T152000Z</t>
  </si>
  <si>
    <t>UID:Ical901482b53e2df1403c4f9ef13867838a</t>
  </si>
  <si>
    <t>EXDATE;TZID=America/Toronto:20160217T123000</t>
  </si>
  <si>
    <t>RRULE:FREQ=WEEKLY;UNTIL=20160405T132000Z;BYDAY=WE</t>
  </si>
  <si>
    <t>UID:Ical906a4201999d773d803e5180f80db6bc</t>
  </si>
  <si>
    <t>DESCRIPTION:Course Name: Seminar\nSection: 001\nInstructor: Kenneth McKay\n</t>
  </si>
  <si>
    <t xml:space="preserve"> Component: SEM\nClass Number: 5108\nDays/Times: W 12:30PM - 1:20PM\nStart/E</t>
  </si>
  <si>
    <t xml:space="preserve"> nd Date: 01/04/2016 - 04/04/2016\nLocation: E2 1303A\n</t>
  </si>
  <si>
    <t>SUMMARY:MSCI 300A (SEM) in E2 1303A</t>
  </si>
  <si>
    <t>DTSTART;TZID=America/Toronto:20130913T093000</t>
  </si>
  <si>
    <t>DTEND;TZID=America/Toronto:20130913T112000</t>
  </si>
  <si>
    <t>RRULE:FREQ=WEEKLY;WKST=SU;UNTIL=20131202T192000Z;BYDAY=FR</t>
  </si>
  <si>
    <t>UID:Ical94b332a20f0d67b6e11a0eb5d205a2bd</t>
  </si>
  <si>
    <t>DESCRIPTION:PHYS 115-112: Mechanics (TUT) in DWE 1515 with Rohan Jayasunder</t>
  </si>
  <si>
    <t xml:space="preserve"> a</t>
  </si>
  <si>
    <t>SUMMARY:PHYS 115 TUT in DWE 1515</t>
  </si>
  <si>
    <t>DTSTART;TZID=America/Toronto:20140107T153000</t>
  </si>
  <si>
    <t>DTEND;TZID=America/Toronto:20140107T165000</t>
  </si>
  <si>
    <t>RRULE:FREQ=WEEKLY;WKST=SU;UNTIL=20140404T235000Z;BYDAY=TU,TH</t>
  </si>
  <si>
    <t>UID:Ical9638298b354a821e991404eb42ef4be6</t>
  </si>
  <si>
    <t>DTSTART:20140204T133000Z</t>
  </si>
  <si>
    <t>DTEND:20140204T142000Z</t>
  </si>
  <si>
    <t>UID:Ical96b8ada90ceaf2e9c1ca6477c8892b10</t>
  </si>
  <si>
    <t>DTSTART;TZID=America/Toronto:20160103T090000</t>
  </si>
  <si>
    <t>DTEND;TZID=America/Toronto:20160103T102000</t>
  </si>
  <si>
    <t>EXDATE;TZID=America/Toronto:20160103T090000</t>
  </si>
  <si>
    <t>EXDATE;TZID=America/Toronto:20160215T090000</t>
  </si>
  <si>
    <t>EXDATE;TZID=America/Toronto:20160217T090000</t>
  </si>
  <si>
    <t>RRULE:FREQ=WEEKLY;UNTIL=20160405T102000Z;BYDAY=MO,WE</t>
  </si>
  <si>
    <t>EXDATE;TZID=America/Toronto:20160404T090000</t>
  </si>
  <si>
    <t>UID:Ical9a4b4af7204f2409cf320a52c538c0d0</t>
  </si>
  <si>
    <t>DESCRIPTION:Course Name: Organizational Design &amp; Tech\nSection: 002\nInstru</t>
  </si>
  <si>
    <t xml:space="preserve"> ctor: P.Robert Duimering\nComponent: LEC\nClass Number: 5109\nDays/Times: M</t>
  </si>
  <si>
    <t xml:space="preserve"> W 9:00AM - 10:20AM\nStart/End Date: 01/04/2016 - 04/04/2016\nLocation: E2 1</t>
  </si>
  <si>
    <t>SUMMARY:MSCI 311 (LEC) in E2 1303A</t>
  </si>
  <si>
    <t>DTEND;TZID=America/Toronto:20160103T112000</t>
  </si>
  <si>
    <t>EXDATE;TZID=America/Toronto:20160217T103000</t>
  </si>
  <si>
    <t>RRULE:FREQ=WEEKLY;UNTIL=20160405T112000Z;BYDAY=WE</t>
  </si>
  <si>
    <t>UID:Ical9ab0d386034c16afd4fec186b2f65fc7</t>
  </si>
  <si>
    <t xml:space="preserve"> ructor: Olga Vechtomova\nComponent: LEC\nClass Number: 5254\nDays/Times: W </t>
  </si>
  <si>
    <t xml:space="preserve"> 10:30AM - 11:20AM\nStart/End Date: 01/04/2016 - 04/04/2016\nLocation: E2 13</t>
  </si>
  <si>
    <t>DTSTART:20131002T183000Z</t>
  </si>
  <si>
    <t>DTEND:20131002T192000Z</t>
  </si>
  <si>
    <t>UID:Ical9c1933507b421e3f0cbca1ad7ab8737e</t>
  </si>
  <si>
    <t>DTSTART:20131009T183000Z</t>
  </si>
  <si>
    <t>DTEND:20131009T192000Z</t>
  </si>
  <si>
    <t>UID:Ical9de0dc094e2e7549939f194af882cf55</t>
  </si>
  <si>
    <t>DTSTART;TZID=America/Toronto:20130909T093000</t>
  </si>
  <si>
    <t>DTEND;TZID=America/Toronto:20130909T112000</t>
  </si>
  <si>
    <t>RRULE:FREQ=WEEKLY;WKST=SU;UNTIL=20131202T192000Z;BYDAY=MO</t>
  </si>
  <si>
    <t>UID:Ical9e470da45e8ec47445f188de5eacef8a</t>
  </si>
  <si>
    <t>DESCRIPTION:MATH 115-116: Linear Algebra (Eng) (TUT) in DWE 1515 with Marti</t>
  </si>
  <si>
    <t>SUMMARY:MATH 115 TUT in DWE 1515</t>
  </si>
  <si>
    <t>DTSTART:20140210T203000Z</t>
  </si>
  <si>
    <t>DTEND:20140210T212000Z</t>
  </si>
  <si>
    <t>UID:Icala0eb1706392bab5f5a8e7c851813f776</t>
  </si>
  <si>
    <t>DTSTART:20140331T193000Z</t>
  </si>
  <si>
    <t>DTEND:20140331T202000Z</t>
  </si>
  <si>
    <t>UID:Icala18b732944282233f25f78f26dbc3713</t>
  </si>
  <si>
    <t>DTSTART:20140403T183000Z</t>
  </si>
  <si>
    <t>DTEND:20140403T192000Z</t>
  </si>
  <si>
    <t>UID:Icala2015263b14f22fea93b8fe275a2200e</t>
  </si>
  <si>
    <t>DTSTART;TZID=America/Toronto:20130912T083000</t>
  </si>
  <si>
    <t>DTEND;TZID=America/Toronto:20130912T112000</t>
  </si>
  <si>
    <t>EXDATE;TZID=America/Toronto:20131031T083000</t>
  </si>
  <si>
    <t>RRULE:FREQ=WEEKLY;WKST=SU;UNTIL=20131202T192000Z;BYDAY=TH</t>
  </si>
  <si>
    <t>UID:Icala3c3401c8d62b00ebb956d2087667f52</t>
  </si>
  <si>
    <t>DESCRIPTION:MSCI 100-001: Management Eng. Concepts (LEC) in MC 1056 with Bi</t>
  </si>
  <si>
    <t>SUMMARY:MSCI 100 LEC in MC 1056</t>
  </si>
  <si>
    <t>DTSTART:20140318T123000Z</t>
  </si>
  <si>
    <t>DTEND:20140318T132000Z</t>
  </si>
  <si>
    <t>UID:Icala43f4be7e13f2ea72e1656b77c070e14</t>
  </si>
  <si>
    <t>DTSTART:20130916T163000Z</t>
  </si>
  <si>
    <t>DTEND:20130916T172000Z</t>
  </si>
  <si>
    <t>UID:Icala4c2943d6829667c87abe6dbdaec809f</t>
  </si>
  <si>
    <t>DTSTART;TZID=America/Toronto:20150507T103000</t>
  </si>
  <si>
    <t>DTEND;TZID=America/Toronto:20150507T115000</t>
  </si>
  <si>
    <t>RRULE:FREQ=WEEKLY;WKST=SU;UNTIL=20150728T185000Z;BYDAY=TH</t>
  </si>
  <si>
    <t>UID:Icala81e73b4781b10202bc56b4d78529902</t>
  </si>
  <si>
    <t>DTSTART:20140313T123000Z</t>
  </si>
  <si>
    <t>DTEND:20140313T152000Z</t>
  </si>
  <si>
    <t>UID:Icala912f6b6345278ceb069dc7c88ebbb83</t>
  </si>
  <si>
    <t>DTSTART:20130926T193000Z</t>
  </si>
  <si>
    <t>DTEND:20130926T202000Z</t>
  </si>
  <si>
    <t>UID:Icalac115640bacb0cbd5d1cdc076ef7f208</t>
  </si>
  <si>
    <t>DTSTART;TZID=America/Toronto:20150504T143000</t>
  </si>
  <si>
    <t>DTEND;TZID=America/Toronto:20150504T152000</t>
  </si>
  <si>
    <t>RRULE:FREQ=WEEKLY;WKST=SU;UNTIL=20150728T222000Z;BYDAY=MO</t>
  </si>
  <si>
    <t>UID:Icalac1a1e7be9cb14413db028cf9437855c</t>
  </si>
  <si>
    <t>DTSTART:20131118T173000Z</t>
  </si>
  <si>
    <t>DTEND:20131118T182000Z</t>
  </si>
  <si>
    <t>UID:Icalae61b533902005b98b7ac24ff623b297</t>
  </si>
  <si>
    <t>DTSTART;TZID=America/Toronto:20140110T153000</t>
  </si>
  <si>
    <t>DTEND;TZID=America/Toronto:20140110T162000</t>
  </si>
  <si>
    <t>RRULE:FREQ=WEEKLY;WKST=SU;UNTIL=20140404T232000Z;BYDAY=FR</t>
  </si>
  <si>
    <t>UID:Icalb1f67d762f77fb9f2eb357709e050acd</t>
  </si>
  <si>
    <t>DTSTART:20140401T123000Z</t>
  </si>
  <si>
    <t>DTEND:20140401T132000Z</t>
  </si>
  <si>
    <t>UID:Icalb3acd3c361462ebea74231a799df65ea</t>
  </si>
  <si>
    <t>DTSTART;TZID=America/Toronto:20150508T153000</t>
  </si>
  <si>
    <t>DTEND;TZID=America/Toronto:20150508T162000</t>
  </si>
  <si>
    <t>RRULE:FREQ=WEEKLY;WKST=SU;UNTIL=20150728T232000Z;BYDAY=FR</t>
  </si>
  <si>
    <t>UID:Icalb914cbea44a0f994631be3902fc16c22</t>
  </si>
  <si>
    <t>DESCRIPTION:MSCI 263-101: Managerial Economics (TUT) in E2 1303A with Ahmad</t>
  </si>
  <si>
    <t xml:space="preserve">  Tanehkar</t>
  </si>
  <si>
    <t>SUMMARY:MSCI 263 TUT in E2 1303A</t>
  </si>
  <si>
    <t>DTSTART:20140109T133000Z</t>
  </si>
  <si>
    <t>DTEND:20140109T162000Z</t>
  </si>
  <si>
    <t>UID:Icalb95b59106ec5be2e7713eb624917e8ce</t>
  </si>
  <si>
    <t>DTSTART:20131007T163000Z</t>
  </si>
  <si>
    <t>DTEND:20131007T172000Z</t>
  </si>
  <si>
    <t>UID:Icalba37ae7ee7a37d12f952848169bc0153</t>
  </si>
  <si>
    <t>DTSTART;TZID=America/Toronto:20140911T093000</t>
  </si>
  <si>
    <t>DTEND;TZID=America/Toronto:20140911T102000</t>
  </si>
  <si>
    <t>RRULE:FREQ=WEEKLY;WKST=SU;UNTIL=20141201T182000Z;BYDAY=TH</t>
  </si>
  <si>
    <t>UID:Icalbbfbaf88389d620ac256bbd0a0d1c8d1</t>
  </si>
  <si>
    <t>DESCRIPTION:ME 235-101: Materials Science &amp; Eng (TUT) in E2 1303A with Staf</t>
  </si>
  <si>
    <t>SUMMARY:ME 235 TUT in E2 1303A</t>
  </si>
  <si>
    <t>DTSTART:20131121T203000Z</t>
  </si>
  <si>
    <t>DTEND:20131121T212000Z</t>
  </si>
  <si>
    <t>UID:Icalbf14eeae5d1f5864d5331c5df7fb46e1</t>
  </si>
  <si>
    <t>DTSTART;TZID=America/Toronto:20140909T143000</t>
  </si>
  <si>
    <t>DTEND;TZID=America/Toronto:20140909T155000</t>
  </si>
  <si>
    <t>RRULE:FREQ=WEEKLY;WKST=SU;UNTIL=20141201T235000Z;BYDAY=TU</t>
  </si>
  <si>
    <t>UID:Icalc79f2500ef9ba691b0396cfe52839f14</t>
  </si>
  <si>
    <t>DTSTART:20131015T203000Z</t>
  </si>
  <si>
    <t>DTEND:20131015T222000Z</t>
  </si>
  <si>
    <t>UID:Icalca5707b019be947de6115d2d9d5f98d3</t>
  </si>
  <si>
    <t>DESCRIPTION:MATH 116-201: Calculus 1 for Engineering (TST) in TBA with Staf</t>
  </si>
  <si>
    <t>SUMMARY:MATH 116 TST in TBA</t>
  </si>
  <si>
    <t>DTSTART;TZID=America/Toronto:20140107T143000</t>
  </si>
  <si>
    <t>DTEND;TZID=America/Toronto:20140107T152000</t>
  </si>
  <si>
    <t>RRULE:FREQ=WEEKLY;WKST=SU;UNTIL=20140404T222000Z;BYDAY=TU</t>
  </si>
  <si>
    <t>UID:Icalcc6b22f63f5fc58a8f25eaf7cab2d81d</t>
  </si>
  <si>
    <t>DTSTART;TZID=America/Toronto:20140912T153000</t>
  </si>
  <si>
    <t>DTEND;TZID=America/Toronto:20140912T162000</t>
  </si>
  <si>
    <t>RRULE:FREQ=WEEKLY;WKST=SU;UNTIL=20141202T002000Z;BYDAY=FR</t>
  </si>
  <si>
    <t>UID:Icalcf61fc0a99c7e51769c607d7a9b369f0</t>
  </si>
  <si>
    <t>DESCRIPTION:ME 250-103: Thermodynamics 1 (TUT) in RCH 305 with Staff</t>
  </si>
  <si>
    <t>LOCATION:RCH 305</t>
  </si>
  <si>
    <t>SUMMARY:ME 250 TUT in RCH 305</t>
  </si>
  <si>
    <t>DTSTART;TZID=America/Toronto:20140107T093000</t>
  </si>
  <si>
    <t>DTEND;TZID=America/Toronto:20140107T102000</t>
  </si>
  <si>
    <t>RRULE:FREQ=WEEKLY;WKST=SU;UNTIL=20140404T172000Z;BYDAY=TU</t>
  </si>
  <si>
    <t>UID:Icald0cc504053bb2ee0adbd0176e4e5aaa3</t>
  </si>
  <si>
    <t>DESCRIPTION:MSCI 131-201: Work Design &amp; Facilities Plan (TUT) in CPH 3604 w</t>
  </si>
  <si>
    <t>LOCATION:CPH 3604</t>
  </si>
  <si>
    <t>SUMMARY:MSCI 131 TUT in CPH 3604</t>
  </si>
  <si>
    <t>DTSTART;TZID=America/Toronto:20150508T123000</t>
  </si>
  <si>
    <t>DTEND;TZID=America/Toronto:20150508T132000</t>
  </si>
  <si>
    <t>RRULE:FREQ=WEEKLY;WKST=SU;UNTIL=20150728T202000Z;BYDAY=FR</t>
  </si>
  <si>
    <t>UID:Icald0cf57bcd90d0dfa123deddb3e6c5ffa</t>
  </si>
  <si>
    <t>DESCRIPTION:MSCI 211-109: Organizational Behaviour (TUT) in E2 1303 with Ay</t>
  </si>
  <si>
    <t xml:space="preserve"> man Alzayat</t>
  </si>
  <si>
    <t>SUMMARY:MSCI 211 TUT in E2 1303</t>
  </si>
  <si>
    <t>DTSTART;TZID=America/Toronto:20150508T143000</t>
  </si>
  <si>
    <t>DTEND;TZID=America/Toronto:20150508T152000</t>
  </si>
  <si>
    <t>RRULE:FREQ=WEEKLY;WKST=SU;UNTIL=20150728T222000Z;BYDAY=FR</t>
  </si>
  <si>
    <t>UID:Icald8170bc2398250c1759d694f6fe1db12</t>
  </si>
  <si>
    <t>DESCRIPTION:MSCI 346-101: Database Systems (TUT) in RCH 306 with Mohammadre</t>
  </si>
  <si>
    <t xml:space="preserve"> za Farahani\, Sarah Sleiman</t>
  </si>
  <si>
    <t>LOCATION:RCH 306</t>
  </si>
  <si>
    <t>SUMMARY:MSCI 346 TUT in RCH 306</t>
  </si>
  <si>
    <t>EXDATE;TZID=America/Toronto:20160219T090000</t>
  </si>
  <si>
    <t>RRULE:FREQ=WEEKLY;UNTIL=20160405T102000Z;BYDAY=FR</t>
  </si>
  <si>
    <t>UID:Icaldd50e6fbef146c887ba1aba0664d4078</t>
  </si>
  <si>
    <t xml:space="preserve"> : Stanko Dimitrov\nComponent: LEC\nClass Number: 5252\nDays/Times: F 9:00AM</t>
  </si>
  <si>
    <t xml:space="preserve">  - 10:20AM\nStart/End Date: 01/04/2016 - 04/04/2016\nLocation: E2 1303A\n</t>
  </si>
  <si>
    <t>DTSTART;TZID=America/Toronto:20140106T133000</t>
  </si>
  <si>
    <t>DTEND;TZID=America/Toronto:20140106T142000</t>
  </si>
  <si>
    <t>RRULE:FREQ=WEEKLY;WKST=SU;UNTIL=20140404T212000Z;BYDAY=MO,WE,FR</t>
  </si>
  <si>
    <t>UID:Icaldeffaa0487de51af1d191dfe7e334671</t>
  </si>
  <si>
    <t>DESCRIPTION:PHYS 125-002: Physics for Engineers (LEC) in QNC 1502 with Roha</t>
  </si>
  <si>
    <t>LOCATION:QNC 1502</t>
  </si>
  <si>
    <t>SUMMARY:PHYS 125 LEC in QNC 1502</t>
  </si>
  <si>
    <t>DTSTART:20140324T193000Z</t>
  </si>
  <si>
    <t>DTEND:20140324T202000Z</t>
  </si>
  <si>
    <t>UID:Icaldf68c6cf89d2e4e079d6be2f580c054f</t>
  </si>
  <si>
    <t>DTSTART:20140227T133000Z</t>
  </si>
  <si>
    <t>DTEND:20140227T162000Z</t>
  </si>
  <si>
    <t>UID:Icale234b508dba6cbdc071ff3e56d1283dc</t>
  </si>
  <si>
    <t>DTSTART:20130930T163000Z</t>
  </si>
  <si>
    <t>DTEND:20130930T172000Z</t>
  </si>
  <si>
    <t>UID:Icale5720f0a693e9a13874772cd96cc379f</t>
  </si>
  <si>
    <t>DTSTART;TZID=America/Toronto:20160103T113000</t>
  </si>
  <si>
    <t>EXDATE;TZID=America/Toronto:20160103T113000</t>
  </si>
  <si>
    <t>EXDATE;TZID=America/Toronto:20160217T113000</t>
  </si>
  <si>
    <t>RRULE:FREQ=WEEKLY;UNTIL=20160405T122000Z;BYDAY=WE</t>
  </si>
  <si>
    <t>UID:Icale9cedbe18f5e748b7787f2f595424340</t>
  </si>
  <si>
    <t>DESCRIPTION:Course Name: Stochastic Mod &amp; Meth\nSection: 101\nInstructor: S</t>
  </si>
  <si>
    <t xml:space="preserve"> taff\nComponent: TUT\nClass Number: 4775\nDays/Times: W 11:30AM - 12:20PM\n</t>
  </si>
  <si>
    <t xml:space="preserve"> Start/End Date: 01/04/2016 - 04/04/2016\nLocation: PHY 313\n</t>
  </si>
  <si>
    <t>LOCATION:PHY 313</t>
  </si>
  <si>
    <t>SUMMARY:MSCI 431 (TUT) in PHY 313</t>
  </si>
  <si>
    <t>DTSTART:20131125T173000Z</t>
  </si>
  <si>
    <t>DTEND:20131125T182000Z</t>
  </si>
  <si>
    <t>UID:Icaleb51a9996a70e8a211ebf8ce6cc2935f</t>
  </si>
  <si>
    <t>DTSTART;TZID=America/Toronto:20160103T140000</t>
  </si>
  <si>
    <t>DTEND;TZID=America/Toronto:20160103T152000</t>
  </si>
  <si>
    <t>EXDATE;TZID=America/Toronto:20160103T140000</t>
  </si>
  <si>
    <t>EXDATE;TZID=America/Toronto:20160216T140000</t>
  </si>
  <si>
    <t>EXDATE;TZID=America/Toronto:20160218T140000</t>
  </si>
  <si>
    <t>RRULE:FREQ=WEEKLY;UNTIL=20160405T152000Z;BYDAY=TU,TH</t>
  </si>
  <si>
    <t>UID:Icaleb7464e2806a8a27bdf91a9007c5a45a</t>
  </si>
  <si>
    <t>DESCRIPTION:Course Name: Stochastic Mod &amp; Meth\nSection: 001\nInstructor: F</t>
  </si>
  <si>
    <t xml:space="preserve"> atih Erenay\nComponent: LEC\nClass Number: 4774\nDays/Times: TTh 2:00PM - 3</t>
  </si>
  <si>
    <t xml:space="preserve"> :20PM\nStart/End Date: 01/04/2016 - 04/04/2016\nLocation: E2 1303A\n</t>
  </si>
  <si>
    <t>SUMMARY:MSCI 431 (LEC) in E2 1303A</t>
  </si>
  <si>
    <t>EXDATE;TZID=America/Toronto:20160216T153000</t>
  </si>
  <si>
    <t>RRULE:FREQ=WEEKLY;UNTIL=20160405T162000Z;BYDAY=TU</t>
  </si>
  <si>
    <t>UID:Icalec8bee965d34d0d2a0858ac59faf8e2b</t>
  </si>
  <si>
    <t>DESCRIPTION:Course Name: Decision Support Systems\nSection: 101\nInstructor</t>
  </si>
  <si>
    <t xml:space="preserve"> : Staff\nComponent: TUT\nClass Number: 5253\nDays/Times: T 3:30PM - 4:20PM\</t>
  </si>
  <si>
    <t xml:space="preserve"> nStart/End Date: 01/04/2016 - 04/04/2016\nLocation: E2 1303A\n</t>
  </si>
  <si>
    <t>SUMMARY:MSCI 436 (TUT) in E2 1303A</t>
  </si>
  <si>
    <t>DTSTART:20140306T193000Z</t>
  </si>
  <si>
    <t>DTEND:20140306T202000Z</t>
  </si>
  <si>
    <t>UID:Icalee5daae8f7486aef8741709d115326a7</t>
  </si>
  <si>
    <t>DTSTART;TZID=America/Toronto:20150506T090000</t>
  </si>
  <si>
    <t>DTEND;TZID=America/Toronto:20150506T102000</t>
  </si>
  <si>
    <t>RRULE:FREQ=WEEKLY;WKST=SU;UNTIL=20150728T172000Z;BYDAY=WE,FR</t>
  </si>
  <si>
    <t>UID:Icalf1c82b3f14abf9343ddf1f9c227c0cfe</t>
  </si>
  <si>
    <t>DESCRIPTION:MSCI 331-001: Intro to Optimization (LEC) in E2 1303A with Tiff</t>
  </si>
  <si>
    <t xml:space="preserve"> any Bayley</t>
  </si>
  <si>
    <t>SUMMARY:MSCI 331 LEC in E2 1303A</t>
  </si>
  <si>
    <t>DTSTART;TZID=America/Toronto:20160103T133000</t>
  </si>
  <si>
    <t>DTEND;TZID=America/Toronto:20160103T142000</t>
  </si>
  <si>
    <t>EXDATE;TZID=America/Toronto:20160103T133000</t>
  </si>
  <si>
    <t>EXDATE;TZID=America/Toronto:20160215T133000</t>
  </si>
  <si>
    <t>RRULE:FREQ=WEEKLY;UNTIL=20160405T142000Z;BYDAY=MO</t>
  </si>
  <si>
    <t>EXDATE;TZID=America/Toronto:20160404T133000</t>
  </si>
  <si>
    <t>UID:Icalf4b6a0c63088ca4d498f63e4e35fccc6</t>
  </si>
  <si>
    <t>DESCRIPTION:Course Name: Organizational Design &amp; Tech\nSection: 106\nInstru</t>
  </si>
  <si>
    <t xml:space="preserve"> ctor: Staff\nComponent: TUT\nClass Number: 4783\nDays/Times: M 1:30PM - 2:2</t>
  </si>
  <si>
    <t xml:space="preserve"> 0PM\nStart/End Date: 01/04/2016 - 04/04/2016\nLocation: E2 1303\n</t>
  </si>
  <si>
    <t>SUMMARY:MSCI 311 (TUT) in E2 1303</t>
  </si>
  <si>
    <t>DTSTART:20160118T183000Z</t>
  </si>
  <si>
    <t>DTEND:20160118T192000Z</t>
  </si>
  <si>
    <t>RECURRENCE-ID:20160118T183000Z</t>
  </si>
  <si>
    <t>SUMMARY:*TENT* MSCI 311 (TUT) in E2 1303</t>
  </si>
  <si>
    <t>DTSTART:20160201T183000Z</t>
  </si>
  <si>
    <t>DTEND:20160201T192000Z</t>
  </si>
  <si>
    <t>RECURRENCE-ID:20160201T183000Z</t>
  </si>
  <si>
    <t>DTSTART:20160229T183000Z</t>
  </si>
  <si>
    <t>DTEND:20160229T192000Z</t>
  </si>
  <si>
    <t>RECURRENCE-ID:20160229T183000Z</t>
  </si>
  <si>
    <t>DTSTART:20160314T173000Z</t>
  </si>
  <si>
    <t>DTEND:20160314T182000Z</t>
  </si>
  <si>
    <t>RECURRENCE-ID:20160314T173000Z</t>
  </si>
  <si>
    <t>DTSTART:20160328T173000Z</t>
  </si>
  <si>
    <t>DTEND:20160328T182000Z</t>
  </si>
  <si>
    <t>RECURRENCE-ID:20160328T173000Z</t>
  </si>
  <si>
    <t>DTSTART;TZID=America/Toronto:20140107T133000</t>
  </si>
  <si>
    <t>DTEND;TZID=America/Toronto:20140107T142000</t>
  </si>
  <si>
    <t>RRULE:FREQ=WEEKLY;WKST=SU;UNTIL=20140404T212000Z;BYDAY=TU</t>
  </si>
  <si>
    <t>UID:Icalf4dff1c843e95a9f70372d6845165367</t>
  </si>
  <si>
    <t>DTSTART;TZID=America/Toronto:20140106T083000</t>
  </si>
  <si>
    <t>DTEND;TZID=America/Toronto:20140106T092000</t>
  </si>
  <si>
    <t>RRULE:FREQ=WEEKLY;WKST=SU;UNTIL=20140404T162000Z;BYDAY=MO,WE,FR</t>
  </si>
  <si>
    <t>UID:Icalf7771d41f9d5b9179b17c45c7a92fe98</t>
  </si>
  <si>
    <t xml:space="preserve"> ttypalayam Selvakumar </t>
  </si>
  <si>
    <t>DTSTART;TZID=America/Toronto:20140106T143000</t>
  </si>
  <si>
    <t>DTEND;TZID=America/Toronto:20140106T152000</t>
  </si>
  <si>
    <t>RRULE:FREQ=WEEKLY;WKST=SU;UNTIL=20140404T222000Z;BYDAY=MO,WE</t>
  </si>
  <si>
    <t>UID:Icalf9f45fbc597ed5775fe66cb582649cc5</t>
  </si>
  <si>
    <t>DTSTART:20140304T133000Z</t>
  </si>
  <si>
    <t>DTEND:20140304T142000Z</t>
  </si>
  <si>
    <t>UID:Icalfaf1c41988138cb49d8ae5d48cb8a4a2</t>
  </si>
  <si>
    <t>DTSTART:20131024T193000Z</t>
  </si>
  <si>
    <t>DTEND:20131024T202000Z</t>
  </si>
  <si>
    <t>UID:Icalfb0632c19d4a39d549d47dff5f82d349</t>
  </si>
  <si>
    <t>DTSTART:20130925T183000Z</t>
  </si>
  <si>
    <t>DTEND:20130925T192000Z</t>
  </si>
  <si>
    <t>UID:Icalfb7d78ac4a0a68628b40a78cc20b2891</t>
  </si>
  <si>
    <t>DTSTART:20131018T203000Z</t>
  </si>
  <si>
    <t>DTEND:20131018T220000Z</t>
  </si>
  <si>
    <t>UID:Icalfc29cdbbcf25070a005c0254239ba9d5</t>
  </si>
  <si>
    <t>DESCRIPTION:CHE 102-201: Chemistry for Engineers (TST) in TBA with Staff</t>
  </si>
  <si>
    <t>SUMMARY:CHE 102 TST in TBA</t>
  </si>
  <si>
    <t>DTSTART:20140317T193000Z</t>
  </si>
  <si>
    <t>DTEND:20140317T202000Z</t>
  </si>
  <si>
    <t>UID:Icalfcc2a284af321e6aca86e4183b318235</t>
  </si>
  <si>
    <t>DTSTART:20131107T203000Z</t>
  </si>
  <si>
    <t>DTEND:20131107T212000Z</t>
  </si>
  <si>
    <t>UID:Icalfe5fcd2c552783e77339f306c9d197eb</t>
  </si>
  <si>
    <t>DTSTART:20131127T193000Z</t>
  </si>
  <si>
    <t>DTEND:20131127T202000Z</t>
  </si>
  <si>
    <t>UID:Icalfecbf258d492e610ae33ba05cd27f86c</t>
  </si>
  <si>
    <t>DTSTART:20160216T150000Z</t>
  </si>
  <si>
    <t>DTEND:20160216T210000Z</t>
  </si>
  <si>
    <t>UID:d1329avpdn02hb4nomo4qcamic@google.com</t>
  </si>
  <si>
    <t>SUMMARY:Work on church stuff</t>
  </si>
  <si>
    <t>DTSTART:20160226T033000Z</t>
  </si>
  <si>
    <t>DTEND:20160226T043000Z</t>
  </si>
  <si>
    <t>UID:dm4kd7ib0s2svtbcegil17g058@google.com</t>
  </si>
  <si>
    <t>SUMMARY:Volleyball</t>
  </si>
  <si>
    <t>DTSTART:20160217T163000Z</t>
  </si>
  <si>
    <t>DTEND:20160217T173000Z</t>
  </si>
  <si>
    <t>UID:dqni2i5fnegeah1vvcb7ieihc4@google.com</t>
  </si>
  <si>
    <t>SUMMARY:Lunch with Sheila</t>
  </si>
  <si>
    <t>DTSTART:20160131T210000Z</t>
  </si>
  <si>
    <t>DTEND:20160131T220000Z</t>
  </si>
  <si>
    <t>UID:eu0su43n0jfsqainjb2mn4jpok@google.com</t>
  </si>
  <si>
    <t xml:space="preserve">SUMMARY:Futsal </t>
  </si>
  <si>
    <t>DTSTART:20160217T023000Z</t>
  </si>
  <si>
    <t>DTEND:20160217T050000Z</t>
  </si>
  <si>
    <t>UID:f1cvahl1q36gur6vr8f315ja48@google.com</t>
  </si>
  <si>
    <t>SUMMARY:Deadpool? (Tentative)</t>
  </si>
  <si>
    <t>DTSTART:20160301T033000Z</t>
  </si>
  <si>
    <t>DTEND:20160301T043000Z</t>
  </si>
  <si>
    <t>UID:i88vja0qndcrmvtnlruv72bi4o@google.com</t>
  </si>
  <si>
    <t>DTSTART:20160227T223000Z</t>
  </si>
  <si>
    <t>DTEND:20160227T233000Z</t>
  </si>
  <si>
    <t>UID:jciu51o4ff6dm67vsfd72q4gb8@google.com</t>
  </si>
  <si>
    <t>DTSTART:20160128T023000Z</t>
  </si>
  <si>
    <t>DTEND:20160128T033000Z</t>
  </si>
  <si>
    <t>UID:k0mco0iin16i9er0io4iu6q9r0@google.com</t>
  </si>
  <si>
    <t>DTSTART:20160120T190000Z</t>
  </si>
  <si>
    <t>DTEND:20160121T000000Z</t>
  </si>
  <si>
    <t>UID:ka58llet1bl5749bcvm7o6fo7g@google.com</t>
  </si>
  <si>
    <t>SUMMARY:Work on 436 and 334 with maisie</t>
  </si>
  <si>
    <t>DTSTART:20140214T140000Z</t>
  </si>
  <si>
    <t>DTEND:20140214T143000Z</t>
  </si>
  <si>
    <t>UID:l6fc18tm8baj8k1a82k174vt5o@google.com</t>
  </si>
  <si>
    <t>DESCRIPTION:Webcam interview with LoyaltyOne Inc\nInterviewer: Linda Jin\nT</t>
  </si>
  <si>
    <t xml:space="preserve"> itle: Analyst\,Database Marketing and TechnologyThis is a Skype.\n\nPlease </t>
  </si>
  <si>
    <t xml:space="preserve"> check on JobMine in the afternoon the day before to see if your interview i</t>
  </si>
  <si>
    <t xml:space="preserve"> s on the 2nd floor or the lower level</t>
  </si>
  <si>
    <t>LOCATION:Somewhere in Tatham Center</t>
  </si>
  <si>
    <t>SUMMARY:Interview with LoyaltyOne Inc</t>
  </si>
  <si>
    <t>DTSTART:20160216T230000Z</t>
  </si>
  <si>
    <t>DTEND:20160217T020000Z</t>
  </si>
  <si>
    <t>UID:lpme6b1ra0pa4fvb6a9sev1550@google.com</t>
  </si>
  <si>
    <t>SUMMARY:Rodents volleyball</t>
  </si>
  <si>
    <t>DTSTART:20160203T023000Z</t>
  </si>
  <si>
    <t>DTEND:20160203T033000Z</t>
  </si>
  <si>
    <t>UID:miqnm29dp28mugn4cip6n6r6s8@google.com</t>
  </si>
  <si>
    <t>DTSTART:20160201T013000Z</t>
  </si>
  <si>
    <t>DTEND:20160201T023000Z</t>
  </si>
  <si>
    <t>UID:mrcuqucgfqq1at4q3trqeo0prc@google.com</t>
  </si>
  <si>
    <t>SEQUENCE:2</t>
  </si>
  <si>
    <t>DTSTART:20160208T033000Z</t>
  </si>
  <si>
    <t>DTEND:20160208T043000Z</t>
  </si>
  <si>
    <t>UID:olq5fl59m95jmqpobegclonrn8@google.com</t>
  </si>
  <si>
    <t>DTSTART:20131031T143000Z</t>
  </si>
  <si>
    <t>DTEND:20131031T153000Z</t>
  </si>
  <si>
    <t>UID:ovfdmhu2r77en7eo2e06mlc6d4@google.com</t>
  </si>
  <si>
    <t>SUMMARY:Math 115</t>
  </si>
  <si>
    <t>DTSTART:20160124T180000Z</t>
  </si>
  <si>
    <t>DTEND:20160124T190000Z</t>
  </si>
  <si>
    <t>UID:p01u6rr7c837at079cum172qrg@google.com</t>
  </si>
  <si>
    <t>SUMMARY:Futsal</t>
  </si>
  <si>
    <t>DTSTART:20140113T220000Z</t>
  </si>
  <si>
    <t>DTEND:20140113T230000Z</t>
  </si>
  <si>
    <t>UID:pli0so5ht8n1693954ccmqs9mo@google.com</t>
  </si>
  <si>
    <t>LOCATION:MC 4060</t>
  </si>
  <si>
    <t>SUMMARY:Captains meeting</t>
  </si>
  <si>
    <t>DTSTART:20160310T220000Z</t>
  </si>
  <si>
    <t>DTEND:20160310T230000Z</t>
  </si>
  <si>
    <t>UID:qevrrsnafkj2mmck5h5soi0os0@google.com</t>
  </si>
  <si>
    <t>SUMMARY:Futsal meeting</t>
  </si>
  <si>
    <t>DTSTART:20151120T180000Z</t>
  </si>
  <si>
    <t>DTEND:20151120T190000Z</t>
  </si>
  <si>
    <t>UID:qmq42m7sheu3u707scfmrtjcjo@google.com</t>
  </si>
  <si>
    <t>DESCRIPTION:1. Click and join at the specified time and date:\nhttps://glob</t>
  </si>
  <si>
    <t xml:space="preserve"> al.gotowebinar.com/join/6647023148610363393/651032804 (https://global.gotow</t>
  </si>
  <si>
    <t xml:space="preserve"> ebinar.com/join/6647023148610363393/651032804)\nNote: This link should not </t>
  </si>
  <si>
    <t xml:space="preserve"> be shared with others it is unique to you.\n\n2. More webinar details:\nhtt</t>
  </si>
  <si>
    <t xml:space="preserve"> ps://attendee.gotowebinar.com/additionalInfo.tmpl?duplicate=false&amp;webinar=6</t>
  </si>
  <si>
    <t xml:space="preserve"> 647023148610363393&amp;aregistrantConfirmation=9166755255081645581 (https://att</t>
  </si>
  <si>
    <t xml:space="preserve"> endee.gotowebinar.com/additionalInfo.tmpl?duplicate=false&amp;webinar=664702314</t>
  </si>
  <si>
    <t xml:space="preserve"> 8610363393&amp;aregistrantConfirmation=9166755255081645581)</t>
  </si>
  <si>
    <t>LOCATION:GoToWebinar</t>
  </si>
  <si>
    <t xml:space="preserve">SUMMARY:GoToWebinar - Force.com Friday | Intro to Force.com (November 20\, </t>
  </si>
  <si>
    <t xml:space="preserve"> 2015 - 10AM PDT)</t>
  </si>
  <si>
    <t>DTSTART:20160305T223000Z</t>
  </si>
  <si>
    <t>DTEND:20160305T233000Z</t>
  </si>
  <si>
    <t>UID:t56amq10460nvq2mc2daebvs18@google.com</t>
  </si>
  <si>
    <t>DTSTART:20160119T033000Z</t>
  </si>
  <si>
    <t>DTEND:20160119T043000Z</t>
  </si>
  <si>
    <t>UID:t60m7chejei2a57utl7mm3t2eg@google.com</t>
  </si>
  <si>
    <t>DTSTART:20160414T153000Z</t>
  </si>
  <si>
    <t>DTEND:20160415T013000Z</t>
  </si>
  <si>
    <t>UID:tm4i7c9ia0mao1k5e9ov8avbc8@google.com</t>
  </si>
  <si>
    <t>SUMMARY:Cry after watching Notebook</t>
  </si>
  <si>
    <t>DTSTART:20160405T150000Z</t>
  </si>
  <si>
    <t>DTEND:20160405T180000Z</t>
  </si>
  <si>
    <t>UID:u4pkj5pnk8q977dch7l01ddf44@google.com</t>
  </si>
  <si>
    <t>SUMMARY:Sit on Couch</t>
  </si>
  <si>
    <t>DTSTART:20140207T180000Z</t>
  </si>
  <si>
    <t>DTEND:20140207T183000Z</t>
  </si>
  <si>
    <t>UID:v4pp2qe6gt0q6jlgqsqcvnj22k@google.com</t>
  </si>
  <si>
    <t>DESCRIPTION:In Person interview with Marsh Canada Ltd\nInterviewer: Carolyn</t>
  </si>
  <si>
    <t xml:space="preserve">  Low\nTitle: Business Analyst Assistant</t>
  </si>
  <si>
    <t>SUMMARY:Interview with Marsh Canada Ltd</t>
  </si>
  <si>
    <t>DTSTART:20160408T130000Z</t>
  </si>
  <si>
    <t>DTEND:20160408T150000Z</t>
  </si>
  <si>
    <t>UID:f70tgig2eqktaqrtmncpp0853c@google.com</t>
  </si>
  <si>
    <t>LAST-MODIFIED:20160329T020656Z</t>
  </si>
  <si>
    <t>SUMMARY:Gym</t>
  </si>
  <si>
    <t>DTSTART:20160408T163000Z</t>
  </si>
  <si>
    <t>DTEND:20160408T183000Z</t>
  </si>
  <si>
    <t>UID:shkkrjn6i2ehf3dul0b0ji3574@google.com</t>
  </si>
  <si>
    <t>LAST-MODIFIED:20160329T020750Z</t>
  </si>
  <si>
    <t>SUMMARY:Plan Birthday Party for Grandmother</t>
  </si>
  <si>
    <t>DTSTART:20160411T160000Z</t>
  </si>
  <si>
    <t>DTEND:20160412T010000Z</t>
  </si>
  <si>
    <t>UID:sqvs3tl5ovvornng4tov1pmehc@google.com</t>
  </si>
  <si>
    <t>LAST-MODIFIED:20160329T020825Z</t>
  </si>
  <si>
    <t>SUMMARY:Play with Knives</t>
  </si>
  <si>
    <t>DTSTART:20160430T040000Z</t>
  </si>
  <si>
    <t>DTEND:20160503T040000Z</t>
  </si>
  <si>
    <t>ORGANIZER;CN=reply@hotels.com:mailto:reply@hotels.com</t>
  </si>
  <si>
    <t>UID:8051202126506</t>
  </si>
  <si>
    <t>ATTENDEE;CUTYPE=INDIVIDUAL;ROLE=REQ-PARTICIPANT;PARTSTAT=NEEDS-ACTION;CN=Co</t>
  </si>
  <si>
    <t xml:space="preserve"> nnor O'Brien;X-NUM-GUESTS=0:mailto:cnnrob@gmail.com</t>
  </si>
  <si>
    <t>CREATED:20160418T225449Z</t>
  </si>
  <si>
    <t>DESCRIPTION:Dear Connor O'Brien\n\nYour booking is confirmed so you donÔÇÖt n</t>
  </si>
  <si>
    <t xml:space="preserve"> eed to do a thing. Just look forward to your stay.\nThank you for booking w</t>
  </si>
  <si>
    <t xml:space="preserve"> ith Hotels.com\n\nYour Hotels.com Confirmation Number is 129119372375\n\n\n</t>
  </si>
  <si>
    <t xml:space="preserve"> Ramada Plaza Toronto Downtown\n300 Jarvis Street\nToronto\nM5B2C5\nON\nCana</t>
  </si>
  <si>
    <t xml:space="preserve"> da\n+14169774823\n\nCheck in: Saturday\, April 30\, 2016\nCheck out: Monday</t>
  </si>
  <si>
    <t xml:space="preserve"> \, May 2\, 2016\nNumber of nights: 2 nights\nRoom type: Standard Room\, 1 K</t>
  </si>
  <si>
    <t xml:space="preserve"> ing Bed\nTotal rooms:  1 room\n\nCancellation Policy\nSpecial non-refundabl</t>
  </si>
  <si>
    <t xml:space="preserve"> e rateThis special discounted rate is non-refundable. If you choose to chan</t>
  </si>
  <si>
    <t xml:space="preserve"> ge or cancel this booking you will not be refunded any of the payment.\n\nV</t>
  </si>
  <si>
    <t xml:space="preserve"> iew / Print / Manage booking: https://ca.hotels.com/customer_care/booking_d</t>
  </si>
  <si>
    <t xml:space="preserve"> etails.html?id=r4ITtR65kOEM-L7aPfulROSKqBCDS7Tay3NfDIQmOYRCdtfwKOYU-riF3wJs</t>
  </si>
  <si>
    <t xml:space="preserve"> IA2JAp1sqQZmE3bdV9WGEeHhmXcBhzi5CvVWJ1FPz1MYsFU.&amp;search=true\n\nDownload th</t>
  </si>
  <si>
    <t xml:space="preserve"> e Hotels.com mobile app here: https://www.hotels.com/deals/mobile_ca/?pos=H</t>
  </si>
  <si>
    <t xml:space="preserve"> COM_CA&amp;locale=en_CA\n</t>
  </si>
  <si>
    <t>LAST-MODIFIED:20160419T035451Z</t>
  </si>
  <si>
    <t>LOCATION:Ramada Plaza Toronto Downtown\, Toronto\, CA</t>
  </si>
  <si>
    <t>SUMMARY:Booking for Ramada Plaza Toronto Downtown\, Toronto\, Canada</t>
  </si>
  <si>
    <t>X-MICROSOFT-CDO-ALLDAYEVENT:TRUE</t>
  </si>
  <si>
    <t>X-MICROSOFT-CDO-BUSYSTATUS:FREE</t>
  </si>
  <si>
    <t>X-MICROSOFT-CDO-INSTTYPE:0</t>
  </si>
  <si>
    <t>X-MICROSOFT-CDO-INTENDEDSTATUS:FREE</t>
  </si>
  <si>
    <t>DTSTART;TZID=America/Toronto:20130920T170000</t>
  </si>
  <si>
    <t>DTEND;TZID=America/Toronto:20130921T050000</t>
  </si>
  <si>
    <t>RRULE:FREQ=WEEKLY;WKST=MO;UNTIL=20160429T205959Z;BYDAY=FR</t>
  </si>
  <si>
    <t>UID:ik8hd948ok8bdl7clvmo5losj8@google.com</t>
  </si>
  <si>
    <t>LAST-MODIFIED:20160428T052059Z</t>
  </si>
  <si>
    <t>SUMMARY:DRANKS</t>
  </si>
  <si>
    <t>DTSTART:20160430T020000Z</t>
  </si>
  <si>
    <t>DTEND:20160430T060000Z</t>
  </si>
  <si>
    <t>UID:5r53n8bj6a1np3r2t9qnejnmvo@google.com</t>
  </si>
  <si>
    <t>CREATED:20160428T052059Z</t>
  </si>
  <si>
    <t>LAST-MODIFIED:20160428T052100Z</t>
  </si>
  <si>
    <t xml:space="preserve">SUMMARY:Shisha with shafwan </t>
  </si>
  <si>
    <t>DTSTART:20160521T180000Z</t>
  </si>
  <si>
    <t>DTEND:20160521T210000Z</t>
  </si>
  <si>
    <t>UID:hv844eg9l1ijsjorb4eaqil6ig@google.com</t>
  </si>
  <si>
    <t>CREATED:20160520T221020Z</t>
  </si>
  <si>
    <t>LAST-MODIFIED:20160520T221244Z</t>
  </si>
  <si>
    <t>SUMMARY:Appwork</t>
  </si>
  <si>
    <t>DTSTART:20160524T170000Z</t>
  </si>
  <si>
    <t>DTEND:20160524T230000Z</t>
  </si>
  <si>
    <t>UID:jnkr4su0i2qlt8pcs7gqs5sra8@google.com</t>
  </si>
  <si>
    <t>CREATED:20160520T221245Z</t>
  </si>
  <si>
    <t>LAST-MODIFIED:20160520T221245Z</t>
  </si>
  <si>
    <t>DTSTART:20160906T194000Z</t>
  </si>
  <si>
    <t>DTEND:20160907T001200Z</t>
  </si>
  <si>
    <t>UID:20160628T175911Z-iCalUidGenForSVT@vtlhlp204.sabre.com</t>
  </si>
  <si>
    <t>CREATED:20160628T175911Z</t>
  </si>
  <si>
    <t>DESCRIPTION:Access your trip details on www.tripcase.com\n\nFlight: WESTJET</t>
  </si>
  <si>
    <t xml:space="preserve"> \, WS 1101\n\nFrom: LOS ANGELES\, CA (LAX)\n\nDeparts: Tuesday\, 06 Septemb</t>
  </si>
  <si>
    <t xml:space="preserve"> er 2016 12:40pm\n\nDeparting Terminal: TERMINAL 2\n\nTo: TORONTO ON\, CANAD</t>
  </si>
  <si>
    <t xml:space="preserve"> A (YYZ)\n\nArrives: Tuesday\, 06 September 2016 8:12pm\n\nArrival Terminal:</t>
  </si>
  <si>
    <t xml:space="preserve">  TERMINAL 3\n\nClass: Economy\n\nAirline Reservation Code:\n\nSeat(s): Chec</t>
  </si>
  <si>
    <t xml:space="preserve"> k-In Required\n\nStatus:Confirmed\n\nAircraft: BOEING 737-700 JET\n\nDistan</t>
  </si>
  <si>
    <t xml:space="preserve"> ce (in Miles): 2176\n\nStop(s): 0\n\nSmoking: No\n\nDuration: 4hr(s) 32min(</t>
  </si>
  <si>
    <t xml:space="preserve"> s)\n\nNotes:\n\nLoyalty Number: 535245093\n\nReservation Code: KRUBWB\n\nTi</t>
  </si>
  <si>
    <t xml:space="preserve"> cket Number: 8382116976616</t>
  </si>
  <si>
    <t>LAST-MODIFIED:20160628T180518Z</t>
  </si>
  <si>
    <t>LOCATION:LOS ANGELES\, CA</t>
  </si>
  <si>
    <t>SUMMARY:MR CONNOR OBRIEN\, Flight to TORONTO ON\, CANADA - KRUBWB</t>
  </si>
  <si>
    <t>DTSTART:20160830T150500Z</t>
  </si>
  <si>
    <t>DTEND:20160830T180000Z</t>
  </si>
  <si>
    <t>UID:20160628T180314Z-iCalUidGenForSVT@vtlhlp204.sabre.com</t>
  </si>
  <si>
    <t>CREATED:20160628T180314Z</t>
  </si>
  <si>
    <t xml:space="preserve"> \, WS 1696\n\nFrom: VANCOUVER BC\, CANADA (YVR)\n\nDeparts: Tuesday\, 30 Au</t>
  </si>
  <si>
    <t xml:space="preserve"> gust 2016 8:05am\n\nDeparting Terminal: MAIN TERMINAL\n\nTo: LOS ANGELES\, </t>
  </si>
  <si>
    <t xml:space="preserve"> CA (LAX)\n\nArrives: Tuesday\, 30 August 2016 11:00am\n\nArrival Terminal: </t>
  </si>
  <si>
    <t xml:space="preserve"> TERMINAL 2\n\nClass: Economy\n\nAirline Reservation Code:\n\nSeat(s): Check</t>
  </si>
  <si>
    <t xml:space="preserve"> -In Required\n\nStatus:Confirmed\n\nAircraft: BOEING 737 800 JET\n\nDistanc</t>
  </si>
  <si>
    <t xml:space="preserve"> e (in Miles): 1081\n\nStop(s): 0\n\nSmoking: No\n\nDuration: 2hr(s) 55min(s</t>
  </si>
  <si>
    <t xml:space="preserve"> )\n\nNotes:\n\nLoyalty Number: 535245093\n\nReservation Code: DSRHNX\n\nTic</t>
  </si>
  <si>
    <t xml:space="preserve"> ket Number: 8382117279706</t>
  </si>
  <si>
    <t>LAST-MODIFIED:20160628T180531Z</t>
  </si>
  <si>
    <t>LOCATION:VANCOUVER BC\, CANADA</t>
  </si>
  <si>
    <t>SUMMARY:MR CONNOR OBRIEN\, Flight to LOS ANGELES\, CA - DSRHNX</t>
  </si>
  <si>
    <t>DTSTART;VALUE=DATE:20160822</t>
  </si>
  <si>
    <t>DTEND;VALUE=DATE:20160824</t>
  </si>
  <si>
    <t>UID:7kukuqrfedlm2f9t3irq6t6r4pq0podg6bs2sgsoqeccjt0hmil05glfuuul0un366a0</t>
  </si>
  <si>
    <t>CREATED:20160822T233234Z</t>
  </si>
  <si>
    <t>DESCRIPTION:A Colorful Downtown Character Home!\n1190 View Street\, Victori</t>
  </si>
  <si>
    <t xml:space="preserve"> a\, BC V8V 3N2\, Canada\n\nCheck-in: Aug 22\, 2016 3:00pm\nCheck-out: Aug 2</t>
  </si>
  <si>
    <t xml:space="preserve"> 3\, 2016 12:00pm\n</t>
  </si>
  <si>
    <t>LAST-MODIFIED:20160822T233234Z</t>
  </si>
  <si>
    <t>LOCATION:1190 View Street\, Victoria\, BC V8V 3N2\, Canada</t>
  </si>
  <si>
    <t>SUMMARY:Stay at A Colorful Downtown Character Home!</t>
  </si>
  <si>
    <t>BEGIN:VALARM</t>
  </si>
  <si>
    <t>ACTION:DISPLAY</t>
  </si>
  <si>
    <t>DESCRIPTION:This is an event reminder</t>
  </si>
  <si>
    <t>TRIGGER:-P0DT0H30M0S</t>
  </si>
  <si>
    <t>END:VALARM</t>
  </si>
  <si>
    <t>DTEND:20160830T175400Z</t>
  </si>
  <si>
    <t>UID:7kukuqrfedlm2f9tvqk3nf2oro236lb478slr2b48d5hhi5j6otl6g90okltr155o7rg</t>
  </si>
  <si>
    <t>CREATED:20160628T175712Z</t>
  </si>
  <si>
    <t>DESCRIPTION:WestJet flight 1696\nVancouver YVR 7:57am (local time) - Los An</t>
  </si>
  <si>
    <t xml:space="preserve"> geles LAX 10:52am (local time)\n\nConfirmation number: DSRHNX</t>
  </si>
  <si>
    <t>LAST-MODIFIED:20160830T180711Z</t>
  </si>
  <si>
    <t>SUMMARY:Flight to Los Angeles</t>
  </si>
  <si>
    <t>UID:7kukuqrfedlm2f9tgg42fv711i3rvrn4jq9hrignlrk5dsaj9c0k528s523tb0jml5g0</t>
  </si>
  <si>
    <t>CREATED:20160616T020619Z</t>
  </si>
  <si>
    <t>DESCRIPTION:WestJet flight 1101\nLos Angeles LAX 12:39pm (local time) - Tor</t>
  </si>
  <si>
    <t xml:space="preserve"> onto YYZ 8:31pm (local time)\n\nConfirmation number: KRUBWB</t>
  </si>
  <si>
    <t>LAST-MODIFIED:20160907T005058Z</t>
  </si>
  <si>
    <t>LOCATION:Los Angeles LAX</t>
  </si>
  <si>
    <t>DTSTART;TZID=America/Toronto:20160907T133000</t>
  </si>
  <si>
    <t>DTEND;TZID=America/Toronto:20160907T142000</t>
  </si>
  <si>
    <t>EXDATE;TZID=America/Toronto:20160907T133000</t>
  </si>
  <si>
    <t>RRULE:FREQ=WEEKLY;UNTIL=20161206T142000Z;BYDAY=WE</t>
  </si>
  <si>
    <t>UID:Ical0731287381db5476e99cae33c5dfec69</t>
  </si>
  <si>
    <t>CREATED:19000101T120000Z</t>
  </si>
  <si>
    <t>DESCRIPTION:Course Name: Principles of Software Eng.\nSection: 101\nInstruc</t>
  </si>
  <si>
    <t xml:space="preserve"> tor: Staff\nComponent: TUT\nClass Number: 4919\nDays/Times: W 1:30PM - 2:20</t>
  </si>
  <si>
    <t xml:space="preserve"> PM\nStart/End Date: 09/08/2016 - 12/05/2016\nLocation: PHY 235\n</t>
  </si>
  <si>
    <t>LAST-MODIFIED:20160908T124214Z</t>
  </si>
  <si>
    <t>LOCATION:PHY 235</t>
  </si>
  <si>
    <t>SUMMARY:MSCI 342 (TUT)</t>
  </si>
  <si>
    <t>DTSTART;TZID=America/Toronto:20160907T113000</t>
  </si>
  <si>
    <t>DTEND;TZID=America/Toronto:20160907T122000</t>
  </si>
  <si>
    <t>EXDATE;TZID=America/Toronto:20160907T113000</t>
  </si>
  <si>
    <t>RRULE:FREQ=WEEKLY;UNTIL=20161206T122000Z;BYDAY=FR</t>
  </si>
  <si>
    <t>UID:Ical1360a13d0c6e0f6b94292686dde7fa6f</t>
  </si>
  <si>
    <t>DESCRIPTION:Course Name: Deterministic Opt. Mod. &amp; Meth\nSection: 101\nInst</t>
  </si>
  <si>
    <t xml:space="preserve"> ructor: Staff\nComponent: TUT\nClass Number: 4914\nDays/Times: F 11:30AM - </t>
  </si>
  <si>
    <t xml:space="preserve"> 12:20PM\nStart/End Date: 09/08/2016 - 12/05/2016\nLocation: E2 1303A\n</t>
  </si>
  <si>
    <t>SUMMARY:MSCI 332 (TUT)</t>
  </si>
  <si>
    <t>DTSTART;TZID=America/Toronto:20160907T093000</t>
  </si>
  <si>
    <t>DTEND;TZID=America/Toronto:20160907T102000</t>
  </si>
  <si>
    <t>EXDATE;TZID=America/Toronto:20160907T093000</t>
  </si>
  <si>
    <t>RRULE:FREQ=WEEKLY;UNTIL=20161206T102000Z;BYDAY=MO,WE,FR</t>
  </si>
  <si>
    <t>UID:Ical22b90b6d65d3e03c22d462249d6ee393</t>
  </si>
  <si>
    <t>DESCRIPTION:Course Name: Data Warehousing &amp; Mining\nSection: 001\nInstructo</t>
  </si>
  <si>
    <t xml:space="preserve"> r: Lukasz Golab\nComponent: LEC\nClass Number: 4924\nDays/Times: MWF 9:30AM</t>
  </si>
  <si>
    <t xml:space="preserve">  - 10:20AM\nStart/End Date: 09/08/2016 - 12/05/2016\nLocation: E2 1303A\n</t>
  </si>
  <si>
    <t>SUMMARY:MSCI 446 (LEC)</t>
  </si>
  <si>
    <t>DTSTART;TZID=America/Toronto:20160907T143000</t>
  </si>
  <si>
    <t>DTEND;TZID=America/Toronto:20160907T172000</t>
  </si>
  <si>
    <t>EXDATE;TZID=America/Toronto:20160907T143000</t>
  </si>
  <si>
    <t>RRULE:FREQ=WEEKLY;UNTIL=20161206T172000Z;BYDAY=WE</t>
  </si>
  <si>
    <t>UID:Ical231b4919d34c3e3840602024199cb736</t>
  </si>
  <si>
    <t>DESCRIPTION:Course Name: Human\nSection: 201\nInstructor: Adrian Reetz\nCom</t>
  </si>
  <si>
    <t xml:space="preserve"> ponent: LAB\nClass Number: 4923\nDays/Times: W 2:30PM - 5:20PM\nStart/End D</t>
  </si>
  <si>
    <t xml:space="preserve"> ate: 09/08/2016 - 12/05/2016\nLocation: CPH 4335\n</t>
  </si>
  <si>
    <t>SUMMARY:MSCI 343 (LAB)</t>
  </si>
  <si>
    <t>DTSTART;TZID=America/Toronto:20160907T100000</t>
  </si>
  <si>
    <t>DTEND;TZID=America/Toronto:20160907T112000</t>
  </si>
  <si>
    <t>EXDATE;TZID=America/Toronto:20160907T100000</t>
  </si>
  <si>
    <t>RRULE:FREQ=WEEKLY;UNTIL=20161206T112000Z;BYDAY=TU,TH</t>
  </si>
  <si>
    <t>UID:Ical3a72ce6e5f02aff9db4521beaada6288</t>
  </si>
  <si>
    <t>DESCRIPTION:Course Name: Deterministic Opt. Mod. &amp; Meth\nSection: 001\nInst</t>
  </si>
  <si>
    <t xml:space="preserve"> ructor: Fatma Gzara\nComponent: LEC\nClass Number: 4913\nDays/Times: TTh 10</t>
  </si>
  <si>
    <t xml:space="preserve"> :00AM - 11:20AM\nStart/End Date: 09/08/2016 - 12/05/2016\nLocation: E2 1303</t>
  </si>
  <si>
    <t>SUMMARY:MSCI 332 (LEC)</t>
  </si>
  <si>
    <t>DTSTART;TZID=America/Toronto:20160907T083000</t>
  </si>
  <si>
    <t>DTEND;TZID=America/Toronto:20160907T095000</t>
  </si>
  <si>
    <t>EXDATE;TZID=America/Toronto:20160907T083000</t>
  </si>
  <si>
    <t>RRULE:FREQ=WEEKLY;UNTIL=20161206T095000Z;BYDAY=TU,TH</t>
  </si>
  <si>
    <t>UID:Ical5143eb8bb2c2f1ece07d717a1302065f</t>
  </si>
  <si>
    <t>DESCRIPTION:Course Name: Simulation Analysis &amp; Design\nSection: 001\nInstru</t>
  </si>
  <si>
    <t xml:space="preserve"> ctor: Ata Ghareh Aghaji Zare\nComponent: LEC\nClass Number: 4915\nDays/Time</t>
  </si>
  <si>
    <t xml:space="preserve"> s: TTh 8:30AM - 9:50AM\nStart/End Date: 09/08/2016 - 12/05/2016\nLocation: </t>
  </si>
  <si>
    <t xml:space="preserve"> E2 1303A\n</t>
  </si>
  <si>
    <t>SUMMARY:MSCI 333 (LEC)</t>
  </si>
  <si>
    <t>RRULE:FREQ=WEEKLY;UNTIL=20161206T122000Z;BYDAY=WE</t>
  </si>
  <si>
    <t>UID:Ical59eb3520830988e9f784228033370ffd</t>
  </si>
  <si>
    <t xml:space="preserve"> Component: SEM\nClass Number: 5171\nDays/Times: W 11:30AM - 12:20PM\nStart/</t>
  </si>
  <si>
    <t xml:space="preserve"> End Date: 09/08/2016 - 12/05/2016\nLocation: E2 1303A\n</t>
  </si>
  <si>
    <t>SUMMARY:MSCI 300B (SEM)</t>
  </si>
  <si>
    <t>RRULE:FREQ=WEEKLY;UNTIL=20161206T172000Z;BYDAY=TH</t>
  </si>
  <si>
    <t>UID:Ical7e5ecc5931efde2001083c8a44654f40</t>
  </si>
  <si>
    <t>DESCRIPTION:Course Name: Principles of Software Eng.\nSection: 201\nInstruc</t>
  </si>
  <si>
    <t xml:space="preserve"> tor: Mark Smucker\nComponent: LAB\nClass Number: 4920\nDays/Times: Th 2:30P</t>
  </si>
  <si>
    <t xml:space="preserve"> M - 5:20PM\nStart/End Date: 09/08/2016 - 12/05/2016\nLocation: E2 1303A\n</t>
  </si>
  <si>
    <t>SUMMARY:MSCI 342 (LAB)</t>
  </si>
  <si>
    <t>DTEND;TZID=America/Toronto:20160907T152000</t>
  </si>
  <si>
    <t>RRULE:FREQ=WEEKLY;UNTIL=20161206T152000Z;BYDAY=MO</t>
  </si>
  <si>
    <t>UID:Icalb28e88ba8618aea5e8567420fd597197</t>
  </si>
  <si>
    <t>DESCRIPTION:Course Name: Data Warehousing &amp; Mining\nSection: 102\nInstructo</t>
  </si>
  <si>
    <t xml:space="preserve"> r: Staff\nComponent: TUT\nClass Number: 5325\nDays/Times: M 2:30PM - 3:20PM</t>
  </si>
  <si>
    <t xml:space="preserve"> \nStart/End Date: 09/08/2016 - 12/05/2016\nLocation: CPH 4335\n</t>
  </si>
  <si>
    <t>SUMMARY:MSCI 446 (TUT)</t>
  </si>
  <si>
    <t>DTSTART;TZID=America/Toronto:20160907T130000</t>
  </si>
  <si>
    <t>EXDATE;TZID=America/Toronto:20160907T130000</t>
  </si>
  <si>
    <t>RRULE:FREQ=WEEKLY;UNTIL=20161206T142000Z;BYDAY=TU,TH</t>
  </si>
  <si>
    <t>UID:Icald5703428b6b46628e59ed8563473637c</t>
  </si>
  <si>
    <t>DESCRIPTION:Course Name: Human\nSection: 001\nInstructor: Adrian Reetz\nCom</t>
  </si>
  <si>
    <t xml:space="preserve"> ponent: LEC\nClass Number: 4921\nDays/Times: TTh 1:00PM - 2:20PM\nStart/End</t>
  </si>
  <si>
    <t xml:space="preserve">  Date: 09/08/2016 - 12/05/2016\nLocation: RCH 207\n</t>
  </si>
  <si>
    <t>LOCATION:RCH 207</t>
  </si>
  <si>
    <t>SUMMARY:MSCI 343 (LEC)</t>
  </si>
  <si>
    <t>RRULE:FREQ=WEEKLY;UNTIL=20161206T122000Z;BYDAY=MO</t>
  </si>
  <si>
    <t>UID:Icale8a45ca5267775b314495c956f69161b</t>
  </si>
  <si>
    <t>DESCRIPTION:Course Name: Simulation Analysis &amp; Design\nSection: 101\nInstru</t>
  </si>
  <si>
    <t xml:space="preserve"> ctor: Staff\nComponent: TUT\nClass Number: 4916\nDays/Times: M 11:30AM - 12</t>
  </si>
  <si>
    <t xml:space="preserve"> :20PM\nStart/End Date: 09/08/2016 - 12/05/2016\nLocation: CPH 4335\n</t>
  </si>
  <si>
    <t>SUMMARY:MSCI 333 (TUT)</t>
  </si>
  <si>
    <t>RRULE:FREQ=WEEKLY;UNTIL=20161206T172000Z;BYDAY=TU</t>
  </si>
  <si>
    <t>EXDATE;TZID=America/Toronto:20161115T143000</t>
  </si>
  <si>
    <t>UID:Icalf6603e536023c8f492c82d282d937879</t>
  </si>
  <si>
    <t>DESCRIPTION:Course Name: Simulation Analysis &amp; Design\nSection: 201\nInstru</t>
  </si>
  <si>
    <t xml:space="preserve"> ctor: Ata Ghareh Aghaji Zare\nComponent: LAB\nClass Number: 4917\nDays/Time</t>
  </si>
  <si>
    <t xml:space="preserve"> s: T 2:30PM - 5:20PM\nStart/End Date: 09/08/2016 - 12/05/2016\nLocation: E2</t>
  </si>
  <si>
    <t xml:space="preserve">  1303A\n</t>
  </si>
  <si>
    <t>SUMMARY:MSCI 333 (LAB)</t>
  </si>
  <si>
    <t>DTEND;TZID=America/Toronto:20160907T092000</t>
  </si>
  <si>
    <t>RRULE:FREQ=WEEKLY;UNTIL=20161206T092000Z;BYDAY=FR</t>
  </si>
  <si>
    <t>UID:Icalfeee6f3c50cc407982f14dad081aa7a5</t>
  </si>
  <si>
    <t>DESCRIPTION:Course Name: Human\nSection: 101\nInstructor: Staff\nComponent:</t>
  </si>
  <si>
    <t xml:space="preserve">  TUT\nClass Number: 4922\nDays/Times: F 8:30AM - 9:20AM\nStart/End Date: 09</t>
  </si>
  <si>
    <t xml:space="preserve"> /08/2016 - 12/05/2016\nLocation: E2 1303A\n</t>
  </si>
  <si>
    <t>SUMMARY:MSCI 343 (TUT)</t>
  </si>
  <si>
    <t>DTSTART;TZID=America/Toronto:20160907T103000</t>
  </si>
  <si>
    <t>EXDATE;TZID=America/Toronto:20160907T103000</t>
  </si>
  <si>
    <t>RRULE:FREQ=WEEKLY;UNTIL=20161206T112000Z;BYDAY=MO,WE,FR</t>
  </si>
  <si>
    <t>UID:Icalffc02db55d629f438a78ca9d815d2276</t>
  </si>
  <si>
    <t>DESCRIPTION:Course Name: Principles of Software Eng.\nSection: 001\nInstruc</t>
  </si>
  <si>
    <t xml:space="preserve"> tor: Mark Smucker\nComponent: LEC\nClass Number: 4918\nDays/Times: MWF 10:3</t>
  </si>
  <si>
    <t xml:space="preserve"> 0AM - 11:20AM\nStart/End Date: 09/08/2016 - 12/05/2016\nLocation: E2 1303A\</t>
  </si>
  <si>
    <t xml:space="preserve"> n</t>
  </si>
  <si>
    <t>SUMMARY:MSCI 342 (LEC)</t>
  </si>
  <si>
    <t>DTSTART;TZID=America/Toronto:20160906T220000</t>
  </si>
  <si>
    <t>DTEND;TZID=America/Toronto:20160907T000000</t>
  </si>
  <si>
    <t>RRULE:FREQ=WEEKLY;UNTIL=20161221T030000Z;BYDAY=TU</t>
  </si>
  <si>
    <t>UID:p7pjrbtsnfauvv8898lf8gr2jg@google.com</t>
  </si>
  <si>
    <t>CREATED:20160909T151846Z</t>
  </si>
  <si>
    <t>LAST-MODIFIED:20160909T151932Z</t>
  </si>
  <si>
    <t>SUMMARY:Serve</t>
  </si>
  <si>
    <t>DTSTART:20160924T173000Z</t>
  </si>
  <si>
    <t>DTEND:20160924T183000Z</t>
  </si>
  <si>
    <t>UID:cpim4cj36kojebb3coq38b9kchj64b9o6lij8b9j6hgjechkc4oj2ob16s@google.com</t>
  </si>
  <si>
    <t>CREATED:20160920T204311Z</t>
  </si>
  <si>
    <t>LAST-MODIFIED:20160920T204311Z</t>
  </si>
  <si>
    <t>TRIGGER:-P0DT3H0M0S</t>
  </si>
  <si>
    <t>DTSTART:20161001T183000Z</t>
  </si>
  <si>
    <t>DTEND:20161001T193000Z</t>
  </si>
  <si>
    <t>UID:659m6ieall72eqkeqn0ffbopdo@google.com</t>
  </si>
  <si>
    <t>CREATED:20160920T204431Z</t>
  </si>
  <si>
    <t>LAST-MODIFIED:20160920T204431Z</t>
  </si>
  <si>
    <t>DTSTART:20161001T203000Z</t>
  </si>
  <si>
    <t>DTEND:20161001T213000Z</t>
  </si>
  <si>
    <t>UID:l0ad8ma4ti71napc64j2bhchnk@google.com</t>
  </si>
  <si>
    <t>CREATED:20160920T204437Z</t>
  </si>
  <si>
    <t>LAST-MODIFIED:20160920T204437Z</t>
  </si>
  <si>
    <t>DTSTART:20161004T003000Z</t>
  </si>
  <si>
    <t>DTEND:20161004T013000Z</t>
  </si>
  <si>
    <t>UID:vmf70t6qh35h02p6ic5ug0qegk@google.com</t>
  </si>
  <si>
    <t>CREATED:20160920T204455Z</t>
  </si>
  <si>
    <t>LAST-MODIFIED:20160920T204455Z</t>
  </si>
  <si>
    <t>DTSTART:20161017T213000Z</t>
  </si>
  <si>
    <t>DTEND:20161017T223000Z</t>
  </si>
  <si>
    <t>UID:e9u14a815qc8vjobjlpa4csc2g@google.com</t>
  </si>
  <si>
    <t>CREATED:20160920T204515Z</t>
  </si>
  <si>
    <t>LAST-MODIFIED:20160920T204515Z</t>
  </si>
  <si>
    <t>DTSTART:20161022T223000Z</t>
  </si>
  <si>
    <t>DTEND:20161022T233000Z</t>
  </si>
  <si>
    <t>UID:6v89qgp2mvlhc1b04d29en32vg@google.com</t>
  </si>
  <si>
    <t>CREATED:20160920T204526Z</t>
  </si>
  <si>
    <t>LAST-MODIFIED:20160920T204526Z</t>
  </si>
  <si>
    <t>DTSTART:20161030T210000Z</t>
  </si>
  <si>
    <t>DTEND:20161030T220000Z</t>
  </si>
  <si>
    <t>UID:h7p38je8rb0qrspnd7ids3jh1s@google.com</t>
  </si>
  <si>
    <t>CREATED:20160920T204536Z</t>
  </si>
  <si>
    <t>LAST-MODIFIED:20160920T204536Z</t>
  </si>
  <si>
    <t>DTSTART;TZID=America/Toronto:20161007T173000</t>
  </si>
  <si>
    <t>DTEND;TZID=America/Toronto:20161007T200000</t>
  </si>
  <si>
    <t>RRULE:FREQ=WEEKLY;UNTIL=20161216T223000Z;INTERVAL=2;BYDAY=FR</t>
  </si>
  <si>
    <t>UID:uss6a4eo6eplskhh9e5bjbrnes@google.com</t>
  </si>
  <si>
    <t>CREATED:20161003T181758Z</t>
  </si>
  <si>
    <t>LAST-MODIFIED:20161003T181758Z</t>
  </si>
  <si>
    <t>SUMMARY:SERVE</t>
  </si>
  <si>
    <t>DTSTART;TZID=America/Toronto:20160930T150000</t>
  </si>
  <si>
    <t>DTEND;TZID=America/Toronto:20160930T173000</t>
  </si>
  <si>
    <t>RRULE:FREQ=WEEKLY;UNTIL=20161209T200000Z;INTERVAL=2;BYDAY=FR</t>
  </si>
  <si>
    <t>UID:rk9dfe17fhagbj24297cpqs230@google.com</t>
  </si>
  <si>
    <t>CREATED:20161003T181821Z</t>
  </si>
  <si>
    <t>LAST-MODIFIED:20161003T181821Z</t>
  </si>
  <si>
    <t>DTSTART;TZID=America/Toronto:20161007T193000</t>
  </si>
  <si>
    <t>DTEND;TZID=America/Toronto:20161007T230000</t>
  </si>
  <si>
    <t>RRULE:FREQ=WEEKLY;UNTIL=20161210T003000Z;BYDAY=FR</t>
  </si>
  <si>
    <t>UID:047538v3c4rq26mqjvf4sktdlo@google.com</t>
  </si>
  <si>
    <t>CREATED:20161003T181858Z</t>
  </si>
  <si>
    <t>LAST-MODIFIED:20161003T181858Z</t>
  </si>
  <si>
    <t>SUMMARY:Mens League</t>
  </si>
  <si>
    <t>DTSTART:20161022T213000Z</t>
  </si>
  <si>
    <t>DTEND:20161022T223000Z</t>
  </si>
  <si>
    <t>UID:pt42rb8o6q1k5semu7f2enpiss@google.com</t>
  </si>
  <si>
    <t>CREATED:20161003T181922Z</t>
  </si>
  <si>
    <t>LAST-MODIFIED:20161003T181922Z</t>
  </si>
  <si>
    <t>DTSTART:20161028T023000Z</t>
  </si>
  <si>
    <t>DTEND:20161028T033000Z</t>
  </si>
  <si>
    <t>UID:k6pf58t28bcosi1sm4uht2o59o@google.com</t>
  </si>
  <si>
    <t>CREATED:20161003T181941Z</t>
  </si>
  <si>
    <t>LAST-MODIFIED:20161003T181941Z</t>
  </si>
  <si>
    <t>SUMMARY:Intramural Volleyball</t>
  </si>
  <si>
    <t>DTSTART:20161103T023000Z</t>
  </si>
  <si>
    <t>DTEND:20161103T033000Z</t>
  </si>
  <si>
    <t>UID:kb3353f55se6633cphlr16j5ro@google.com</t>
  </si>
  <si>
    <t>CREATED:20161003T181959Z</t>
  </si>
  <si>
    <t>LAST-MODIFIED:20161003T181959Z</t>
  </si>
  <si>
    <t>DTSTART:20161104T023000Z</t>
  </si>
  <si>
    <t>DTEND:20161104T033000Z</t>
  </si>
  <si>
    <t>UID:gd2cak7dtfv17t5i273bhkhud0@google.com</t>
  </si>
  <si>
    <t>CREATED:20161003T182005Z</t>
  </si>
  <si>
    <t>LAST-MODIFIED:20161003T182005Z</t>
  </si>
  <si>
    <t>DTSTART:20161107T013000Z</t>
  </si>
  <si>
    <t>DTEND:20161107T023000Z</t>
  </si>
  <si>
    <t>UID:7c2fq598fiognagbj3q15mjslc@google.com</t>
  </si>
  <si>
    <t>CREATED:20161003T182028Z</t>
  </si>
  <si>
    <t>LAST-MODIFIED:20161003T182028Z</t>
  </si>
  <si>
    <t>DTSTART:20161208T173000Z</t>
  </si>
  <si>
    <t>DTEND:20161208T203000Z</t>
  </si>
  <si>
    <t>UID:6lj6co9g6cq38b9g60q32b9k68p3ebb160qjcb9jc4sm6phhcko6cc33co@google.com</t>
  </si>
  <si>
    <t>CREATED:20161104T204932Z</t>
  </si>
  <si>
    <t>LAST-MODIFIED:20161104T204932Z</t>
  </si>
  <si>
    <t>SUMMARY:Msci 332 final</t>
  </si>
  <si>
    <t>TRIGGER:-P0DT0H10M0S</t>
  </si>
  <si>
    <t>DTSTART:20161210T210000Z</t>
  </si>
  <si>
    <t>DTEND:20161210T230000Z</t>
  </si>
  <si>
    <t>UID:6co68db6ccp6ab9o64ojab9k6timab9p75hjgb9h69i3cor56krm4c3264@google.com</t>
  </si>
  <si>
    <t>CREATED:20161104T205001Z</t>
  </si>
  <si>
    <t>LAST-MODIFIED:20161104T205001Z</t>
  </si>
  <si>
    <t>SUMMARY:Msci 446 final</t>
  </si>
  <si>
    <t>DTSTART:20161213T003000Z</t>
  </si>
  <si>
    <t>DTEND:20161213T023000Z</t>
  </si>
  <si>
    <t>UID:65j64ohg64oj2bb6cphm8b9k71hjgbb2copjcb9gchgjie9n60qmcp1g74@google.com</t>
  </si>
  <si>
    <t>CREATED:20161104T205044Z</t>
  </si>
  <si>
    <t>LAST-MODIFIED:20161104T205130Z</t>
  </si>
  <si>
    <t>SUMMARY:Msci 342 final</t>
  </si>
  <si>
    <t>DTSTART:20161214T140000Z</t>
  </si>
  <si>
    <t>DTEND:20161214T160000Z</t>
  </si>
  <si>
    <t>UID:64qj6db2cgr38b9mc4r6cb9k6lh38b9p70rmcbb1cosm4d1m68s38c1o6g@google.com</t>
  </si>
  <si>
    <t>CREATED:20161104T205235Z</t>
  </si>
  <si>
    <t>LAST-MODIFIED:20161104T205235Z</t>
  </si>
  <si>
    <t>LOCATION:MC 4020</t>
  </si>
  <si>
    <t>SUMMARY:Msci 333 final</t>
  </si>
  <si>
    <t>DTSTART:20161110T143000Z</t>
  </si>
  <si>
    <t>DTEND:20161110T150000Z</t>
  </si>
  <si>
    <t>UID:chh68p3570sjebb265j32b9k60sm4bb1c8o64bb271j62ob66gsjce1j6o@google.com</t>
  </si>
  <si>
    <t>CREATED:20161109T165857Z</t>
  </si>
  <si>
    <t>LAST-MODIFIED:20161109T165857Z</t>
  </si>
  <si>
    <t>SUMMARY:Shaver Industries interview</t>
  </si>
  <si>
    <t>DTSTART:20161114T180000Z</t>
  </si>
  <si>
    <t>DTEND:20161114T183000Z</t>
  </si>
  <si>
    <t>UID:64p66cpl74s3ib9j70ojab9kckpmcbb2c8rjeb9k75ijip9h71hm6c9m70@google.com</t>
  </si>
  <si>
    <t>CREATED:20161109T170206Z</t>
  </si>
  <si>
    <t>LAST-MODIFIED:20161109T170206Z</t>
  </si>
  <si>
    <t>SUMMARY:Cineplex waterloo interview</t>
  </si>
  <si>
    <t>DTSTART:20161110T152000Z</t>
  </si>
  <si>
    <t>DTEND:20161110T155000Z</t>
  </si>
  <si>
    <t>UID:6kq30chic8q66b9j6gqjeb9k64q30bb16gojgb9pcco66eb66kr66dj2cg@google.com</t>
  </si>
  <si>
    <t>CREATED:20161109T170132Z</t>
  </si>
  <si>
    <t>LAST-MODIFIED:20161109T170235Z</t>
  </si>
  <si>
    <t>SUMMARY:Cineplex interview - toronto position</t>
  </si>
  <si>
    <t>DTSTART:20161117T150000Z</t>
  </si>
  <si>
    <t>DTEND:20161117T152900Z</t>
  </si>
  <si>
    <t>UID:60smacr2ccr6ab9k6so3ab9k70qjeb9o74rj0b9n74p3ed1jclj64p1hc4@google.com</t>
  </si>
  <si>
    <t>CREATED:20161109T170346Z</t>
  </si>
  <si>
    <t>LAST-MODIFIED:20161109T170346Z</t>
  </si>
  <si>
    <t>SUMMARY:Toronto parking authority interview</t>
  </si>
  <si>
    <t>DTSTART:20161115T215000Z</t>
  </si>
  <si>
    <t>DTEND:20161115T222000Z</t>
  </si>
  <si>
    <t>UID:6sq6coj5cdh36b9nclh6ab9k6grj4b9pchh38bb4ccpj4o9g6so30opg6o@google.com</t>
  </si>
  <si>
    <t>CREATED:20161109T170558Z</t>
  </si>
  <si>
    <t>LAST-MODIFIED:20161109T170558Z</t>
  </si>
  <si>
    <t>SUMMARY:Home trust interview</t>
  </si>
  <si>
    <t>DTSTART:20161116T163000Z</t>
  </si>
  <si>
    <t>DTEND:20161116T170000Z</t>
  </si>
  <si>
    <t>UID:cgrj2p9p69hm8bb275i3gb9kcdi6cb9o6srjebb46pgj6ohhcoom2c9o60@google.com</t>
  </si>
  <si>
    <t>CREATED:20161114T200548Z</t>
  </si>
  <si>
    <t>LAST-MODIFIED:20161114T200548Z</t>
  </si>
  <si>
    <t>SUMMARY:Rbw interview</t>
  </si>
  <si>
    <t>DTSTART;VALUE=DATE:20170113</t>
  </si>
  <si>
    <t>DTEND;VALUE=DATE:20170114</t>
  </si>
  <si>
    <t>RRULE:FREQ=WEEKLY;UNTIL=20170428;INTERVAL=2;BYDAY=FR</t>
  </si>
  <si>
    <t>UID:3v464kmnhfvnu4mhouekq5539o@google.com</t>
  </si>
  <si>
    <t>CREATED:20170104T212640Z</t>
  </si>
  <si>
    <t>LAST-MODIFIED:20170106T044955Z</t>
  </si>
  <si>
    <t>SUMMARY:Payday</t>
  </si>
  <si>
    <t>DTSTART:20170215T190000Z</t>
  </si>
  <si>
    <t>DTEND:20170215T223000Z</t>
  </si>
  <si>
    <t>UID:7kukuqrfedlm2f9tfctkcd5pkk5pkcc41thuit7q8if06can2l3a86batlkvre3ugptg</t>
  </si>
  <si>
    <t>CREATED:20170213T142108Z</t>
  </si>
  <si>
    <t>DESCRIPTION:Watch Online: IBM Machine Learning Launch Event\nOnline:\, Virt</t>
  </si>
  <si>
    <t xml:space="preserve"> ual\, US\n\nConfirmation number: 596205130</t>
  </si>
  <si>
    <t>LAST-MODIFIED:20170213T190353Z</t>
  </si>
  <si>
    <t>LOCATION:Virtual\, US</t>
  </si>
  <si>
    <t>SUMMARY:Watch Online: IBM Machine Learning Launch Event</t>
  </si>
  <si>
    <t>DTSTART:20170216T150000Z</t>
  </si>
  <si>
    <t>DTEND:20170216T160000Z</t>
  </si>
  <si>
    <t>UID:7kukuqrfedlm2f9tglfmldduht0g01icli980nb78qfv6fd7np98mge7gri3l313rgf0</t>
  </si>
  <si>
    <t>CREATED:20170127T191552Z</t>
  </si>
  <si>
    <t>DESCRIPTION:HTC Q4 Employee Townhall 1\n145 King Street West\, Suite 1005 -</t>
  </si>
  <si>
    <t xml:space="preserve">  10th floor\, Toronto\, ON\, CA\, M5H\n\nConfirmation number: 590887299</t>
  </si>
  <si>
    <t>LAST-MODIFIED:20170214T150924Z</t>
  </si>
  <si>
    <t>LOCATION:145 King Street West\, Suite 1005 - 10th floor\, Toronto\, ON\, CA</t>
  </si>
  <si>
    <t xml:space="preserve"> \, M5H</t>
  </si>
  <si>
    <t>SUMMARY:HTC Q4 Employee Townhall 1</t>
  </si>
  <si>
    <t>DTSTART;TZID=America/Atikokan:20170116T090000</t>
  </si>
  <si>
    <t>DTEND;TZID=America/Atikokan:20170116T100000</t>
  </si>
  <si>
    <t>RRULE:FREQ=WEEKLY;WKST=SU;COUNT=12;BYDAY=MO,TU</t>
  </si>
  <si>
    <t>UID:68pj6cpi6os6abb36kq36b9k6gp36b9p6ksj2b9k6hhjiohk61h32eb6c4@google.com</t>
  </si>
  <si>
    <t>CREATED:20170113T181202Z</t>
  </si>
  <si>
    <t>LAST-MODIFIED:20170220T190920Z</t>
  </si>
  <si>
    <t>SUMMARY:Work on WatPD</t>
  </si>
  <si>
    <t>DTSTART:20170322T220000Z</t>
  </si>
  <si>
    <t>DTEND:20170323T003000Z</t>
  </si>
  <si>
    <t>UID:7kukuqrfedlm2f9tveshdfj1p160qkdej0nebslkoifehscosrk540fbjnj0uobdjq50</t>
  </si>
  <si>
    <t>CREATED:20170320T130401Z</t>
  </si>
  <si>
    <t>DESCRIPTION:Applied Machine Learning in Finance &amp; Detecting Money Launderin</t>
  </si>
  <si>
    <t xml:space="preserve"> g\nProject Spaces\, 20 Camden Street - 2nd Floor\, Toronto\, ON\, ca\, M5V </t>
  </si>
  <si>
    <t xml:space="preserve"> 1V1\n\nConfirmation number: 238111991</t>
  </si>
  <si>
    <t>LAST-MODIFIED:20170321T163406Z</t>
  </si>
  <si>
    <t>LOCATION:Project Spaces\, Camden\, 20 Camden Street - 2nd Floor\, Toronto\,</t>
  </si>
  <si>
    <t xml:space="preserve">  ON\, ca\, M5V 1V1</t>
  </si>
  <si>
    <t>SUMMARY:Applied Machine Learning in Finance &amp; Detecting Money Laundering</t>
  </si>
  <si>
    <t>DTSTART:20170330T130000Z</t>
  </si>
  <si>
    <t>DTEND:20170330T173000Z</t>
  </si>
  <si>
    <t>ORGANIZER;CN=snicholson@newcomp.com:mailto:snicholson@newcomp.com</t>
  </si>
  <si>
    <t>UID:717osplk14au6ech6tes45tff8@google.com</t>
  </si>
  <si>
    <t>CREATED:20170214T142610Z</t>
  </si>
  <si>
    <t>DESCRIPTION:Confirmation: You are registered for the IBM Cognos Analytics w</t>
  </si>
  <si>
    <t xml:space="preserve"> orkshop.\n</t>
  </si>
  <si>
    <t>LAST-MODIFIED:20170329T135113Z</t>
  </si>
  <si>
    <t>LOCATION:IBM Canada Ltd.\, 3600 Steeles Ave E\, Markham\, ON L3R 9Z7\, Cana</t>
  </si>
  <si>
    <t xml:space="preserve"> da</t>
  </si>
  <si>
    <t>SUMMARY:IBM Cognos Analytics Workshop - Markham</t>
  </si>
  <si>
    <t>DTSTART;VALUE=DATE:20170224</t>
  </si>
  <si>
    <t>DTEND;VALUE=DATE:20170227</t>
  </si>
  <si>
    <t>UID:7kukuqrfedlm2f9tdia3h81hutu57uhpm1muf4p8d8lme3p4al6iebe9atl9v8kebbog</t>
  </si>
  <si>
    <t>CREATED:20170208T165329Z</t>
  </si>
  <si>
    <t xml:space="preserve">DESCRIPTION:High-Floor with CN Tower View\nFort York Boulevard\, Toronto\, </t>
  </si>
  <si>
    <t xml:space="preserve"> ON M5V\, Canada\n+1 647-966-7282\n\nCheck-in: Feb 24\, 2017 12:00am\nCheck-</t>
  </si>
  <si>
    <t xml:space="preserve"> out: Feb 26\, 2017 12:00pm\n</t>
  </si>
  <si>
    <t>LAST-MODIFIED:20170401T020104Z</t>
  </si>
  <si>
    <t>LOCATION:Fort York Boulevard\, Toronto\, ON M5V\, Canada</t>
  </si>
  <si>
    <t>SUMMARY:Stay at High-Floor with CN Tower View</t>
  </si>
  <si>
    <t>DTSTART;TZID=America/Toronto:20170430T153000</t>
  </si>
  <si>
    <t>DTEND;TZID=America/Toronto:20170430T162000</t>
  </si>
  <si>
    <t>EXDATE;TZID=America/Toronto:20170430T153000</t>
  </si>
  <si>
    <t>RRULE:FREQ=WEEKLY;UNTIL=20170726T162000Z;BYDAY=FR</t>
  </si>
  <si>
    <t>UID:Ical0a8209e3ba98e3c75325d8030b7b8b2a</t>
  </si>
  <si>
    <t>DESCRIPTION:Course Name: Supply Chain Management\nSection: 101\nInstructor:</t>
  </si>
  <si>
    <t xml:space="preserve">  Staff\nComponent: TUT\nClass Number: 3043\nDays/Times: F 3:30PM - 4:20PM\n</t>
  </si>
  <si>
    <t xml:space="preserve"> Start/End Date: 05/01/2017 - 07/25/2017\nLocation: DWE 2527\n</t>
  </si>
  <si>
    <t>LAST-MODIFIED:20170502T193252Z</t>
  </si>
  <si>
    <t>SUMMARY:MSCI 434 (TUT) in DWE 2527</t>
  </si>
  <si>
    <t>DTSTART;TZID=America/Toronto:20170430T143000</t>
  </si>
  <si>
    <t>DTEND;TZID=America/Toronto:20170430T152000</t>
  </si>
  <si>
    <t>EXDATE;TZID=America/Toronto:20170430T143000</t>
  </si>
  <si>
    <t>RRULE:FREQ=WEEKLY;UNTIL=20170726T152000Z;BYDAY=MO</t>
  </si>
  <si>
    <t>UID:Ical0f27af2cf2a513abf25dc2f806450beb</t>
  </si>
  <si>
    <t>DESCRIPTION:Course Name: Dec Making Under Uncertainty\nSection: 101\nInstru</t>
  </si>
  <si>
    <t xml:space="preserve"> ctor: Staff\nComponent: TUT\nClass Number: 2741\nDays/Times: M 2:30PM - 3:2</t>
  </si>
  <si>
    <t xml:space="preserve"> 0PM\nStart/End Date: 05/01/2017 - 07/25/2017\nLocation: DWE 1501\n</t>
  </si>
  <si>
    <t>LOCATION:DWE 1501</t>
  </si>
  <si>
    <t>SUMMARY:MSCI 452 (TUT) in DWE 1501</t>
  </si>
  <si>
    <t>DTSTART;TZID=America/Toronto:20170430T130000</t>
  </si>
  <si>
    <t>DTEND;TZID=America/Toronto:20170430T142000</t>
  </si>
  <si>
    <t>EXDATE;TZID=America/Toronto:20170430T130000</t>
  </si>
  <si>
    <t>RRULE:FREQ=WEEKLY;UNTIL=20170726T142000Z;BYDAY=TU,TH</t>
  </si>
  <si>
    <t>UID:Ical1c6566f1e1a8360722ca15fe31e0d43e</t>
  </si>
  <si>
    <t>DESCRIPTION:Course Name: Supply Chain Management\nSection: 001\nInstructor:</t>
  </si>
  <si>
    <t xml:space="preserve">  Ozden Dalgic\nComponent: LEC\nClass Number: 3042\nDays/Times: TTh 1:00PM -</t>
  </si>
  <si>
    <t xml:space="preserve">  2:20PM\nStart/End Date: 05/01/2017 - 07/25/2017\nLocation: DWE 3516\n</t>
  </si>
  <si>
    <t>LOCATION:DWE 3516</t>
  </si>
  <si>
    <t>SUMMARY:MSCI 434 (LEC) in DWE 3516</t>
  </si>
  <si>
    <t>DTSTART;TZID=America/Toronto:20170430T083000</t>
  </si>
  <si>
    <t>DTEND;TZID=America/Toronto:20170430T112000</t>
  </si>
  <si>
    <t>EXDATE;TZID=America/Toronto:20170430T083000</t>
  </si>
  <si>
    <t>RRULE:FREQ=WEEKLY;UNTIL=20170726T112000Z;BYDAY=FR</t>
  </si>
  <si>
    <t>UID:Ical2fbce18fbb671d7a9031dcba3731e379</t>
  </si>
  <si>
    <t>DESCRIPTION:Course Name: Management Eng. Des. Proj 1\nSection: 101\nInstruc</t>
  </si>
  <si>
    <t xml:space="preserve"> tor: Ada Hurst\, Kenneth McKay\nComponent: LEC\nClass Number: 5165\nDays/Ti</t>
  </si>
  <si>
    <t xml:space="preserve"> mes: F 8:30AM - 11:20AM\nStart/End Date: 05/01/2017 - 07/25/2017\nLocation:</t>
  </si>
  <si>
    <t xml:space="preserve">  CPH 3623\n</t>
  </si>
  <si>
    <t>LOCATION:CPH 3623</t>
  </si>
  <si>
    <t>SUMMARY:MSCI 401 (LEC) in CPH 3623</t>
  </si>
  <si>
    <t>RRULE:FREQ=WEEKLY;UNTIL=20170726T162000Z;BYDAY=MO</t>
  </si>
  <si>
    <t>UID:Ical35a3b192b8fc762d0cb9615e98d50ad6</t>
  </si>
  <si>
    <t>DESCRIPTION:Course Name: Telecommunication Systems:\nSection: 101\nInstruct</t>
  </si>
  <si>
    <t xml:space="preserve"> or: Staff\nComponent: TUT\nClass Number: 3046\nDays/Times: M 3:30PM - 4:20P</t>
  </si>
  <si>
    <t xml:space="preserve"> M\nStart/End Date: 05/01/2017 - 07/25/2017\nLocation: DWE 1501\n</t>
  </si>
  <si>
    <t>SUMMARY:MSCI 445 (TUT) in DWE 1501</t>
  </si>
  <si>
    <t>DTSTART;TZID=America/Toronto:20170430T133000</t>
  </si>
  <si>
    <t>EXDATE;TZID=America/Toronto:20170430T133000</t>
  </si>
  <si>
    <t>RRULE:FREQ=WEEKLY;UNTIL=20170726T142000Z;BYDAY=WE</t>
  </si>
  <si>
    <t>UID:Ical3cf7de63be8eae51af291eed079e7859</t>
  </si>
  <si>
    <t>DESCRIPTION:Course Name: Quality Management and Control\nSection: 001\nInst</t>
  </si>
  <si>
    <t xml:space="preserve"> ructor: Amir Gabriel\nComponent: LEC\nClass Number: 3051\nDays/Times: W 1:3</t>
  </si>
  <si>
    <t xml:space="preserve"> 0PM - 2:20PM\nStart/End Date: 05/01/2017 - 07/25/2017\nLocation: DWE 1501\n</t>
  </si>
  <si>
    <t>SUMMARY:MSCI 551 (LEC) in DWE 1501</t>
  </si>
  <si>
    <t>DTEND;TZID=America/Toronto:20170430T155000</t>
  </si>
  <si>
    <t>RRULE:FREQ=WEEKLY;UNTIL=20170726T155000Z;BYDAY=TU,TH</t>
  </si>
  <si>
    <t>UID:Ical3e9e9e0bcd6c0a0d4144f86c237f249b</t>
  </si>
  <si>
    <t>DESCRIPTION:Course Name: Dec Making Under Uncertainty\nSection: 001\nInstru</t>
  </si>
  <si>
    <t xml:space="preserve"> ctor: Fatih Erenay\nComponent: LEC\nClass Number: 2740\nDays/Times: TTh 2:3</t>
  </si>
  <si>
    <t xml:space="preserve"> 0PM - 3:50PM\nStart/End Date: 05/01/2017 - 07/25/2017\nLocation: DWE 3516\n</t>
  </si>
  <si>
    <t>SUMMARY:MSCI 452 (LEC) in DWE 3516</t>
  </si>
  <si>
    <t>RRULE:FREQ=WEEKLY;UNTIL=20170726T112000Z;BYDAY=MO</t>
  </si>
  <si>
    <t>UID:Ical456029db40afc54ffbfdeea5bf067369</t>
  </si>
  <si>
    <t>DESCRIPTION:Course Name: Telecommunication Systems:\nSection: 201\nInstruct</t>
  </si>
  <si>
    <t xml:space="preserve"> or: Majid Karimi\nComponent: LAB\nClass Number: 3047\nDays/Times: M 8:30AM </t>
  </si>
  <si>
    <t xml:space="preserve"> - 11:20AM\nStart/End Date: 05/01/2017 - 07/25/2017\nLocation: E2 1310\n</t>
  </si>
  <si>
    <t>SUMMARY:MSCI 445 (LAB) in E2 1310</t>
  </si>
  <si>
    <t>DTSTART;TZID=America/Toronto:20170430T100000</t>
  </si>
  <si>
    <t>EXDATE;TZID=America/Toronto:20170430T100000</t>
  </si>
  <si>
    <t>RRULE:FREQ=WEEKLY;UNTIL=20170726T112000Z;BYDAY=TU,TH</t>
  </si>
  <si>
    <t>UID:Ical4ef696c1674bbc1f1d9f1f4e4a6c08b2</t>
  </si>
  <si>
    <t>DESCRIPTION:Course Name: Telecommunication Systems:\nSection: 001\nInstruct</t>
  </si>
  <si>
    <t xml:space="preserve"> or: Stanko Dimitrov\nComponent: LEC\nClass Number: 3045\nDays/Times: TTh 10</t>
  </si>
  <si>
    <t xml:space="preserve"> :00AM - 11:20AM\nStart/End Date: 05/01/2017 - 07/25/2017\nLocation: DWE 352</t>
  </si>
  <si>
    <t xml:space="preserve"> 2\n</t>
  </si>
  <si>
    <t>SUMMARY:MSCI 445 (LEC) in DWE 3522</t>
  </si>
  <si>
    <t>DTSTART;TZID=America/Toronto:20170430T123000</t>
  </si>
  <si>
    <t>DTEND;TZID=America/Toronto:20170430T132000</t>
  </si>
  <si>
    <t>EXDATE;TZID=America/Toronto:20170430T123000</t>
  </si>
  <si>
    <t>RRULE:FREQ=WEEKLY;UNTIL=20170726T132000Z;BYDAY=WE</t>
  </si>
  <si>
    <t>UID:Ical5ee4982312a58206d22589a40116f51b</t>
  </si>
  <si>
    <t xml:space="preserve"> Component: SEM\nClass Number: 3040\nDays/Times: W 12:30PM - 1:20PM\nStart/E</t>
  </si>
  <si>
    <t xml:space="preserve"> nd Date: 05/01/2017 - 07/25/2017\nLocation: DWE 1501\n</t>
  </si>
  <si>
    <t>SUMMARY:MSCI 400A (SEM) in DWE 1501</t>
  </si>
  <si>
    <t>RRULE:FREQ=WEEKLY;UNTIL=20170726T142000Z;BYDAY=MO</t>
  </si>
  <si>
    <t>UID:Ical8135b5e6253199036fb72ba9e961b429</t>
  </si>
  <si>
    <t>DESCRIPTION:Course Name: Quality Management and Control\nSection: 101\nInst</t>
  </si>
  <si>
    <t xml:space="preserve"> ructor: Staff\nComponent: TUT\nClass Number: 3052\nDays/Times: M 1:30PM - 2</t>
  </si>
  <si>
    <t xml:space="preserve"> :20PM\nStart/End Date: 05/01/2017 - 07/25/2017\nLocation: DWE 1501\n</t>
  </si>
  <si>
    <t>SUMMARY:MSCI 551 (TUT) in DWE 1501</t>
  </si>
  <si>
    <t>DTEND;TZID=America/Toronto:20170430T172000</t>
  </si>
  <si>
    <t>RRULE:FREQ=WEEKLY;UNTIL=20170726T172000Z;BYDAY=WE</t>
  </si>
  <si>
    <t>UID:Ical8c8f33a8af3126d5b86cbd962397abc1</t>
  </si>
  <si>
    <t>DESCRIPTION:Course Name: Supply Chain Management\nSection: 201\nInstructor:</t>
  </si>
  <si>
    <t xml:space="preserve">  Ozden Dalgic\nComponent: LAB\nClass Number: 3044\nDays/Times: W 2:30PM - 5</t>
  </si>
  <si>
    <t>SUMMARY:MSCI 434 (LAB) in DWE 1501</t>
  </si>
  <si>
    <t>RRULE:FREQ=WEEKLY;UNTIL=20170726T112000Z;BYDAY=WE</t>
  </si>
  <si>
    <t>UID:Icalddee8727c78ca805db21a4311bca5e71</t>
  </si>
  <si>
    <t>DESCRIPTION:Course Name: Management Eng. Des. Proj 1\nSection: 001\nInstruc</t>
  </si>
  <si>
    <t xml:space="preserve"> tor: Ada Hurst\, Kenneth McKay\nComponent: PRJ\nClass Number: 3041\nDays/Ti</t>
  </si>
  <si>
    <t xml:space="preserve"> mes: W 8:30AM - 11:20AM\nStart/End Date: 05/01/2017 - 07/25/2017\nLocation:</t>
  </si>
  <si>
    <t xml:space="preserve">  CPH 4333\n</t>
  </si>
  <si>
    <t>LOCATION:CPH 4333</t>
  </si>
  <si>
    <t>SUMMARY:MSCI 401 (PRJ) in CPH 4333</t>
  </si>
  <si>
    <t>RRULE:FREQ=WEEKLY;UNTIL=20170726T152000Z;BYDAY=FR</t>
  </si>
  <si>
    <t>UID:Icalf692dc257452649198a817cb5609526f</t>
  </si>
  <si>
    <t xml:space="preserve"> ructor: Amir Gabriel\nComponent: LEC\nClass Number: 3051\nDays/Times: F 1:3</t>
  </si>
  <si>
    <t xml:space="preserve"> 0PM - 3:20PM\nStart/End Date: 05/01/2017 - 07/25/2017\nLocation: DWE 2527\n</t>
  </si>
  <si>
    <t>SUMMARY:MSCI 551 (LEC) in DWE 2527</t>
  </si>
  <si>
    <t>DTSTART:20170503T210000Z</t>
  </si>
  <si>
    <t>DTEND:20170503T220000Z</t>
  </si>
  <si>
    <t>UID:q8nn1lvl1rj50neetkvsubgeuk@google.com</t>
  </si>
  <si>
    <t>CREATED:20170503T185732Z</t>
  </si>
  <si>
    <t>LAST-MODIFIED:20170503T185732Z</t>
  </si>
  <si>
    <t>SUMMARY:CIF</t>
  </si>
  <si>
    <t>DTSTART:20170505T160000Z</t>
  </si>
  <si>
    <t>DTEND:20170505T170000Z</t>
  </si>
  <si>
    <t>UID:6gs3ad1k70rj6b9lcoojeb9k70sj4b9pc8sjib9jc8o36dpo60o3cchg6o@google.com</t>
  </si>
  <si>
    <t>CREATED:20170504T193054Z</t>
  </si>
  <si>
    <t>LAST-MODIFIED:20170504T193054Z</t>
  </si>
  <si>
    <t>SUMMARY:Workterm report</t>
  </si>
  <si>
    <t>DTSTART;TZID=America/Toronto:20170507T140000</t>
  </si>
  <si>
    <t>DTEND;TZID=America/Toronto:20170507T180000</t>
  </si>
  <si>
    <t>RRULE:FREQ=WEEKLY;WKST=SU;UNTIL=20170818T190000Z;BYDAY=SU</t>
  </si>
  <si>
    <t>UID:c9j30cj3c4sjeb9lcdhjcb9k6di66b9o70oj8bb56dgj6e9ncko3cphh6k@google.com</t>
  </si>
  <si>
    <t>CREATED:20170504T193104Z</t>
  </si>
  <si>
    <t>LAST-MODIFIED:20170504T193104Z</t>
  </si>
  <si>
    <t>SUMMARY:Weekly review</t>
  </si>
  <si>
    <t>DTSTART:20170508T153000Z</t>
  </si>
  <si>
    <t>DTEND:20170508T163000Z</t>
  </si>
  <si>
    <t>ORGANIZER;CN=maisie.brown27@gmail.com:mailto:maisie.brown27@gmail.com</t>
  </si>
  <si>
    <t>UID:2A9A90E8-035B-4874-898A-922F021A2E47</t>
  </si>
  <si>
    <t>ATTENDEE;CUTYPE=INDIVIDUAL;ROLE=REQ-PARTICIPANT;PARTSTAT=ACCEPTED;CN=Michel</t>
  </si>
  <si>
    <t xml:space="preserve"> le Indyarta;X-NUM-GUESTS=0:mailto:michelleindyarta@gmail.com</t>
  </si>
  <si>
    <t>ATTENDEE;CUTYPE=INDIVIDUAL;ROLE=REQ-PARTICIPANT;PARTSTAT=ACCEPTED;CN=Maisie</t>
  </si>
  <si>
    <t xml:space="preserve">  Brown;X-NUM-GUESTS=0:mailto:maisie.brown27@gmail.com</t>
  </si>
  <si>
    <t>ATTENDEE;CUTYPE=INDIVIDUAL;ROLE=REQ-PARTICIPANT;PARTSTAT=ACCEPTED;CN=Patric</t>
  </si>
  <si>
    <t xml:space="preserve"> ia Hall;X-NUM-GUESTS=0:mailto:patricia.hall@live.ca</t>
  </si>
  <si>
    <t>ATTENDEE;CUTYPE=INDIVIDUAL;ROLE=REQ-PARTICIPANT;PARTSTAT=ACCEPTED;CN=Dale D</t>
  </si>
  <si>
    <t xml:space="preserve"> rasnin;X-NUM-GUESTS=0:mailto:dale.drasnin@gmail.com</t>
  </si>
  <si>
    <t>CREATED:20170504T155655Z</t>
  </si>
  <si>
    <t>LAST-MODIFIED:20170505T120821Z</t>
  </si>
  <si>
    <t>SUMMARY:Project Proposal Meeting</t>
  </si>
  <si>
    <t>DTSTART;TZID=America/Toronto:20170517T113000</t>
  </si>
  <si>
    <t>DTEND;TZID=America/Toronto:20170517T123000</t>
  </si>
  <si>
    <t>RRULE:FREQ=WEEKLY;UNTIL=20170802T152959Z;INTERVAL=1</t>
  </si>
  <si>
    <t>UID:6A179003-9E4A-44EA-BFFA-A80ED2FB6A29</t>
  </si>
  <si>
    <t>CREATED:20170504T153634Z</t>
  </si>
  <si>
    <t>LAST-MODIFIED:20170505T120938Z</t>
  </si>
  <si>
    <t>SUMMARY:FYDP Weekly Meeting</t>
  </si>
  <si>
    <t>DTSTART;TZID=America/Toronto:20170508T113000</t>
  </si>
  <si>
    <t>DTEND;TZID=America/Toronto:20170508T123000</t>
  </si>
  <si>
    <t>RRULE:FREQ=WEEKLY;UNTIL=20170801T035959Z;INTERVAL=1</t>
  </si>
  <si>
    <t>UID:64091E78-7364-443A-9AE9-0BCE88DBB055</t>
  </si>
  <si>
    <t>CREATED:20170508T154430Z</t>
  </si>
  <si>
    <t>LAST-MODIFIED:20170508T164247Z</t>
  </si>
  <si>
    <t>SUMMARY:FYDP Weekly Workgroup</t>
  </si>
  <si>
    <t>DTSTART;TZID=America/Toronto:20170509T113000</t>
  </si>
  <si>
    <t>DTEND;TZID=America/Toronto:20170509T123000</t>
  </si>
  <si>
    <t>RRULE:FREQ=WEEKLY;UNTIL=20170802T035959Z</t>
  </si>
  <si>
    <t>UID:9F201BB3-47F9-4527-A808-8A98D2B12800</t>
  </si>
  <si>
    <t>ATTENDEE;CUTYPE=INDIVIDUAL;ROLE=REQ-PARTICIPANT;PARTSTAT=NEEDS-ACTION;CN=Pa</t>
  </si>
  <si>
    <t xml:space="preserve"> tricia Hall;X-NUM-GUESTS=0:mailto:patricia.hall@live.ca</t>
  </si>
  <si>
    <t>ATTENDEE;CUTYPE=INDIVIDUAL;ROLE=REQ-PARTICIPANT;PARTSTAT=NEEDS-ACTION;CN=Ho</t>
  </si>
  <si>
    <t xml:space="preserve"> ssein Abouee Mehrizi;X-NUM-GUESTS=0:mailto:haboueemehrizi@uwaterloo.ca</t>
  </si>
  <si>
    <t>CREATED:20170508T140552Z</t>
  </si>
  <si>
    <t>LAST-MODIFIED:20170508T164255Z</t>
  </si>
  <si>
    <t>LOCATION:CPH 3659</t>
  </si>
  <si>
    <t>SUMMARY:FYDP Weekly Advisor Meeting</t>
  </si>
  <si>
    <t>DTSTART;TZID=America/Toronto:20170531T113000</t>
  </si>
  <si>
    <t>DTEND;TZID=America/Toronto:20170531T123000</t>
  </si>
  <si>
    <t>RECURRENCE-ID;TZID=America/Toronto:20170531T113000</t>
  </si>
  <si>
    <t>DESCRIPTION:Submit application for Baylis Award - Due June 2</t>
  </si>
  <si>
    <t>LAST-MODIFIED:20170509T164931Z</t>
  </si>
  <si>
    <t>DTSTART:20170518T010000Z</t>
  </si>
  <si>
    <t>DTEND:20170518T020000Z</t>
  </si>
  <si>
    <t>UID:E33CB49E-B0BC-4CA2-9B2D-60D5942814D1</t>
  </si>
  <si>
    <t>ATTENDEE;CUTYPE=INDIVIDUAL;ROLE=REQ-PARTICIPANT;PARTSTAT=NEEDS-ACTION;X-NUM</t>
  </si>
  <si>
    <t xml:space="preserve"> -GUESTS=0:mailto:estewartsmall@me.com</t>
  </si>
  <si>
    <t>ATTENDEE;CUTYPE=INDIVIDUAL;ROLE=REQ-PARTICIPANT;PARTSTAT=NEEDS-ACTION;CN=em</t>
  </si>
  <si>
    <t xml:space="preserve"> ma.markoff@live.ca;X-NUM-GUESTS=0:mailto:emma.markoff@live.ca</t>
  </si>
  <si>
    <t>ATTENDEE;CUTYPE=INDIVIDUAL;ROLE=REQ-PARTICIPANT;PARTSTAT=NEEDS-ACTION;CN=Da</t>
  </si>
  <si>
    <t xml:space="preserve"> le Drasnin;X-NUM-GUESTS=0:mailto:dale.drasnin@gmail.com</t>
  </si>
  <si>
    <t>ATTENDEE;CUTYPE=INDIVIDUAL;ROLE=REQ-PARTICIPANT;PARTSTAT=NEEDS-ACTION;CN=An</t>
  </si>
  <si>
    <t xml:space="preserve"> na Liang;X-NUM-GUESTS=0:mailto:anna.liangg@gmail.com</t>
  </si>
  <si>
    <t>CREATED:20170515T205254Z</t>
  </si>
  <si>
    <t>LAST-MODIFIED:20170516T132125Z</t>
  </si>
  <si>
    <t>SUMMARY:KBBQ</t>
  </si>
  <si>
    <t>DTSTART;TZID=America/Toronto:20170523T123000</t>
  </si>
  <si>
    <t>DTEND;TZID=America/Toronto:20170523T133000</t>
  </si>
  <si>
    <t>RECURRENCE-ID;TZID=America/Toronto:20170522T113000</t>
  </si>
  <si>
    <t>LAST-MODIFIED:20170517T153100Z</t>
  </si>
  <si>
    <t>DTSTART:20170517T143000Z</t>
  </si>
  <si>
    <t>DTEND:20170517T153000Z</t>
  </si>
  <si>
    <t>UID:4CBBD5B9-1942-4DD4-94BA-DDD502CC9577</t>
  </si>
  <si>
    <t>CREATED:20170516T165035Z</t>
  </si>
  <si>
    <t>LAST-MODIFIED:20170517T163846Z</t>
  </si>
  <si>
    <t>SUMMARY:Consultation with Ada</t>
  </si>
  <si>
    <t>DTSTART;TZID=America/Toronto:20170518T120000</t>
  </si>
  <si>
    <t>DTEND;TZID=America/Toronto:20170518T130000</t>
  </si>
  <si>
    <t>RRULE:FREQ=WEEKLY;UNTIL=20170729T035959Z;INTERVAL=1;BYDAY=TH,FR</t>
  </si>
  <si>
    <t>UID:DF752556-6DC3-48B5-8C47-0BA536295100</t>
  </si>
  <si>
    <t>CREATED:20170515T204905Z</t>
  </si>
  <si>
    <t>LAST-MODIFIED:20170517T163859Z</t>
  </si>
  <si>
    <t>DTSTART:20170519T190000Z</t>
  </si>
  <si>
    <t>DTEND:20170519T193000Z</t>
  </si>
  <si>
    <t>UID:F42E6396-F223-4BE8-9E68-0D415D74C411</t>
  </si>
  <si>
    <t>ATTENDEE;CUTYPE=INDIVIDUAL;ROLE=REQ-PARTICIPANT;PARTSTAT=NEEDS-ACTION;CN=Mi</t>
  </si>
  <si>
    <t xml:space="preserve"> chelle Indyarta;X-NUM-GUESTS=0:mailto:michelleindyarta@gmail.com</t>
  </si>
  <si>
    <t>CREATED:20170517T184519Z</t>
  </si>
  <si>
    <t>LAST-MODIFIED:20170517T214613Z</t>
  </si>
  <si>
    <t>SUMMARY:Conference Call with Chris</t>
  </si>
  <si>
    <t>DTSTART:20170523T203000Z</t>
  </si>
  <si>
    <t>DTEND:20170523T213000Z</t>
  </si>
  <si>
    <t>UID:4DB20A71-D691-4A09-B9E8-E21D26E62C65</t>
  </si>
  <si>
    <t>CREATED:20170517T152553Z</t>
  </si>
  <si>
    <t>LAST-MODIFIED:20170517T215513Z</t>
  </si>
  <si>
    <t>SUMMARY:Lit review presentations</t>
  </si>
  <si>
    <t>END:VCALENDAR</t>
  </si>
  <si>
    <t>Olga</t>
  </si>
  <si>
    <t>Stan</t>
  </si>
  <si>
    <t>Dumering</t>
  </si>
  <si>
    <t>Bookbinder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</si>
</sst>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m/d/yy"/>
    <numFmt numFmtId="166" formatCode="[hh]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2" borderId="1" xfId="0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3" borderId="0" xfId="0" applyFill="1"/>
    <xf numFmtId="0" fontId="0" fillId="2" borderId="1" xfId="0" applyFill="1" applyBorder="1"/>
    <xf numFmtId="0" fontId="0" fillId="2" borderId="2" xfId="0" applyFill="1" applyBorder="1" applyAlignment="1">
      <alignment horizontal="center"/>
    </xf>
    <xf numFmtId="0" fontId="0" fillId="0" borderId="0" xfId="0" applyFill="1" applyBorder="1"/>
    <xf numFmtId="0" fontId="1" fillId="3" borderId="3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114300</xdr:rowOff>
        </xdr:from>
        <xdr:to>
          <xdr:col>2</xdr:col>
          <xdr:colOff>495300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16</xdr:row>
          <xdr:rowOff>47625</xdr:rowOff>
        </xdr:from>
        <xdr:to>
          <xdr:col>5</xdr:col>
          <xdr:colOff>85725</xdr:colOff>
          <xdr:row>19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data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114300</xdr:rowOff>
        </xdr:from>
        <xdr:to>
          <xdr:col>2</xdr:col>
          <xdr:colOff>504825</xdr:colOff>
          <xdr:row>9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Courses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133350</xdr:rowOff>
        </xdr:from>
        <xdr:to>
          <xdr:col>2</xdr:col>
          <xdr:colOff>504825</xdr:colOff>
          <xdr:row>13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</xdr:row>
          <xdr:rowOff>57150</xdr:rowOff>
        </xdr:from>
        <xdr:to>
          <xdr:col>2</xdr:col>
          <xdr:colOff>171450</xdr:colOff>
          <xdr:row>17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events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114300</xdr:rowOff>
        </xdr:from>
        <xdr:to>
          <xdr:col>2</xdr:col>
          <xdr:colOff>285750</xdr:colOff>
          <xdr:row>21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ANN to predict class ratings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23</xdr:row>
          <xdr:rowOff>9525</xdr:rowOff>
        </xdr:from>
        <xdr:to>
          <xdr:col>2</xdr:col>
          <xdr:colOff>552450</xdr:colOff>
          <xdr:row>27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 Calendar with Study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47625</xdr:rowOff>
        </xdr:from>
        <xdr:to>
          <xdr:col>5</xdr:col>
          <xdr:colOff>247650</xdr:colOff>
          <xdr:row>27</xdr:row>
          <xdr:rowOff>104775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Optimized Calendar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679"/>
  <sheetViews>
    <sheetView topLeftCell="C1" zoomScale="80" zoomScaleNormal="80" workbookViewId="0">
      <selection activeCell="O7" sqref="O7"/>
    </sheetView>
  </sheetViews>
  <sheetFormatPr defaultRowHeight="14.25" x14ac:dyDescent="0.45"/>
  <cols>
    <col min="1" max="2" width="11.59765625" bestFit="1" customWidth="1"/>
    <col min="3" max="4" width="10" bestFit="1" customWidth="1"/>
    <col min="6" max="8" width="9" style="2"/>
    <col min="9" max="10" width="11" style="2" bestFit="1" customWidth="1"/>
    <col min="11" max="13" width="9" style="2"/>
  </cols>
  <sheetData>
    <row r="1" spans="1:21" x14ac:dyDescent="0.45">
      <c r="A1" s="3">
        <v>0</v>
      </c>
      <c r="B1" s="3">
        <v>0</v>
      </c>
      <c r="C1" s="1">
        <f ca="1">TODAY()+7</f>
        <v>42879</v>
      </c>
      <c r="D1" t="s">
        <v>37</v>
      </c>
      <c r="J1" s="2" t="s">
        <v>20</v>
      </c>
      <c r="L1" s="2" t="s">
        <v>17</v>
      </c>
      <c r="M1" s="2" t="s">
        <v>18</v>
      </c>
      <c r="N1" t="s">
        <v>22</v>
      </c>
      <c r="P1" t="s">
        <v>28</v>
      </c>
      <c r="Q1" t="s">
        <v>27</v>
      </c>
      <c r="R1" t="s">
        <v>35</v>
      </c>
      <c r="S1" t="s">
        <v>36</v>
      </c>
    </row>
    <row r="2" spans="1:21" x14ac:dyDescent="0.45">
      <c r="A2" s="3">
        <v>4.1666666666666699E-2</v>
      </c>
      <c r="B2" s="3">
        <v>4.1666666666666699E-2</v>
      </c>
      <c r="C2" s="1">
        <f ca="1">C1+1</f>
        <v>42880</v>
      </c>
      <c r="D2">
        <v>7</v>
      </c>
      <c r="E2">
        <v>6</v>
      </c>
      <c r="F2">
        <f t="shared" ref="F2:F14" si="0">SUMPRODUCT($E2:$E3,L$2:L$3)</f>
        <v>9.0000000036382592E-9</v>
      </c>
      <c r="G2">
        <f t="shared" ref="G2:G14" si="1">SUMPRODUCT($E2:$E3,M$2:M$3)</f>
        <v>7.7695216201567225</v>
      </c>
      <c r="H2">
        <f t="shared" ref="H2:H14" si="2">(F2 + $L$4)*$N$2+(G2 + $M$4)*$N$3+$N$4</f>
        <v>5.6326360147182344</v>
      </c>
      <c r="I2"/>
      <c r="J2" s="2">
        <f>SUM(I2:I16)</f>
        <v>74.051067098959436</v>
      </c>
      <c r="L2" s="2">
        <v>1.0000000000021927E-9</v>
      </c>
      <c r="M2" s="2">
        <v>1.2949202695261204</v>
      </c>
      <c r="N2">
        <v>0.16206797842672671</v>
      </c>
      <c r="P2">
        <v>5.64</v>
      </c>
      <c r="Q2">
        <v>8.4499999999999993</v>
      </c>
      <c r="R2">
        <v>2.93</v>
      </c>
      <c r="S2">
        <v>5.63</v>
      </c>
    </row>
    <row r="3" spans="1:21" x14ac:dyDescent="0.45">
      <c r="A3" s="3">
        <v>8.3333333333333301E-2</v>
      </c>
      <c r="B3" s="3">
        <v>8.3333333333333301E-2</v>
      </c>
      <c r="C3" s="1">
        <f t="shared" ref="C3:C66" ca="1" si="3">C2+1</f>
        <v>42881</v>
      </c>
      <c r="D3">
        <v>19</v>
      </c>
      <c r="E3">
        <v>3</v>
      </c>
      <c r="F3">
        <f t="shared" si="0"/>
        <v>7.0000000048400486E-9</v>
      </c>
      <c r="G3">
        <f t="shared" si="1"/>
        <v>3.884760812578361</v>
      </c>
      <c r="H3">
        <f t="shared" si="2"/>
        <v>4.0846259069989053</v>
      </c>
      <c r="I3">
        <f t="shared" ref="I3:I14" si="4">(E2 - H3)^2</f>
        <v>3.6686579161397663</v>
      </c>
      <c r="J3" s="2" t="s">
        <v>21</v>
      </c>
      <c r="L3" s="2">
        <v>1.0000000012083676E-9</v>
      </c>
      <c r="M3" s="2">
        <v>1.0000000000000001E-9</v>
      </c>
      <c r="N3">
        <v>0.39848273396275696</v>
      </c>
      <c r="O3" t="s">
        <v>24</v>
      </c>
      <c r="P3" t="s">
        <v>25</v>
      </c>
      <c r="Q3" t="s">
        <v>26</v>
      </c>
      <c r="R3" t="s">
        <v>33</v>
      </c>
      <c r="S3" t="s">
        <v>34</v>
      </c>
      <c r="T3" t="s">
        <v>29</v>
      </c>
      <c r="U3" t="s">
        <v>30</v>
      </c>
    </row>
    <row r="4" spans="1:21" x14ac:dyDescent="0.45">
      <c r="A4" s="3">
        <v>0.125</v>
      </c>
      <c r="B4" s="3">
        <v>0.125</v>
      </c>
      <c r="C4" s="1">
        <f t="shared" ca="1" si="3"/>
        <v>42882</v>
      </c>
      <c r="D4" s="1">
        <v>42896</v>
      </c>
      <c r="E4">
        <v>4</v>
      </c>
      <c r="F4">
        <f t="shared" si="0"/>
        <v>5.0000000012171385E-9</v>
      </c>
      <c r="G4">
        <f t="shared" si="1"/>
        <v>5.1796810791044816</v>
      </c>
      <c r="H4">
        <f t="shared" si="2"/>
        <v>4.6006292747438806</v>
      </c>
      <c r="I4">
        <f t="shared" si="4"/>
        <v>2.5620140751671214</v>
      </c>
      <c r="J4" s="2">
        <f>MAX(I2:I16)</f>
        <v>34.991650680043726</v>
      </c>
      <c r="K4" s="2" t="s">
        <v>19</v>
      </c>
      <c r="L4" s="2">
        <v>1.0000000000000001E-9</v>
      </c>
      <c r="M4" s="2">
        <v>1.000000082740371E-9</v>
      </c>
      <c r="N4">
        <v>2.5366157959162723</v>
      </c>
      <c r="O4">
        <v>46</v>
      </c>
      <c r="P4">
        <v>11.663624279198919</v>
      </c>
      <c r="Q4">
        <v>14.276183244753215</v>
      </c>
      <c r="R4">
        <v>8.406939644931759</v>
      </c>
      <c r="S4">
        <v>11.653252831116111</v>
      </c>
      <c r="T4">
        <f>SUM(P4:S4)</f>
        <v>46.000000000000007</v>
      </c>
      <c r="U4">
        <f xml:space="preserve"> 0 + 259.44/P4 + 388.7/Q4 + 134.78/R4 + 258.98/S4</f>
        <v>87.726511115389371</v>
      </c>
    </row>
    <row r="5" spans="1:21" x14ac:dyDescent="0.45">
      <c r="A5" s="3">
        <v>0.16666666666666699</v>
      </c>
      <c r="B5" s="3">
        <v>0.16666666666666699</v>
      </c>
      <c r="C5" s="1">
        <f t="shared" ca="1" si="3"/>
        <v>42883</v>
      </c>
      <c r="D5" t="s">
        <v>38</v>
      </c>
      <c r="E5">
        <v>1</v>
      </c>
      <c r="F5">
        <f t="shared" si="0"/>
        <v>6.0000000060440309E-9</v>
      </c>
      <c r="G5">
        <f t="shared" si="1"/>
        <v>1.2949202745261204</v>
      </c>
      <c r="H5">
        <f t="shared" si="2"/>
        <v>3.0526191687062032</v>
      </c>
      <c r="I5">
        <f t="shared" si="4"/>
        <v>0.89753043950292544</v>
      </c>
      <c r="O5">
        <v>43</v>
      </c>
      <c r="P5">
        <v>10.902911050075989</v>
      </c>
      <c r="Q5">
        <v>13.345434212621809</v>
      </c>
      <c r="R5">
        <v>7.8584261444904273</v>
      </c>
      <c r="S5">
        <v>10.893228592811768</v>
      </c>
      <c r="T5">
        <f>SUM(P5:S5)</f>
        <v>42.999999999999993</v>
      </c>
      <c r="U5">
        <f xml:space="preserve"> 0 + 242.52/P5 + 363.35/Q5 + 125.99/R5 + 242.09/S5</f>
        <v>87.726511093042745</v>
      </c>
    </row>
    <row r="6" spans="1:21" x14ac:dyDescent="0.45">
      <c r="A6" s="3">
        <v>0.20833333333333301</v>
      </c>
      <c r="B6" s="3">
        <v>0.20833333333333301</v>
      </c>
      <c r="C6" s="1">
        <f t="shared" ca="1" si="3"/>
        <v>42884</v>
      </c>
      <c r="D6" t="s">
        <v>39</v>
      </c>
      <c r="E6">
        <v>5</v>
      </c>
      <c r="F6">
        <f t="shared" si="0"/>
        <v>1.1000000007261169E-8</v>
      </c>
      <c r="G6">
        <f t="shared" si="1"/>
        <v>6.4746013536306011</v>
      </c>
      <c r="H6">
        <f t="shared" si="2"/>
        <v>5.1166326469732599</v>
      </c>
      <c r="I6">
        <f t="shared" si="4"/>
        <v>16.946664350126067</v>
      </c>
      <c r="O6">
        <v>48</v>
      </c>
      <c r="P6">
        <v>12.170696006022983</v>
      </c>
      <c r="Q6">
        <v>14.897214553913765</v>
      </c>
      <c r="R6">
        <v>8.7720750409709574</v>
      </c>
      <c r="S6">
        <v>12.160014399092292</v>
      </c>
      <c r="T6">
        <f>SUM(P6:S6)</f>
        <v>48</v>
      </c>
      <c r="U6">
        <f xml:space="preserve"> 0 + 270.72/P6 + 405.6/Q6 + 140.64/R6 + 270.24/S6</f>
        <v>87.726511099198319</v>
      </c>
    </row>
    <row r="7" spans="1:21" x14ac:dyDescent="0.45">
      <c r="A7" s="3">
        <v>0.25</v>
      </c>
      <c r="B7" s="3">
        <v>0.25</v>
      </c>
      <c r="C7" s="1">
        <f t="shared" ca="1" si="3"/>
        <v>42885</v>
      </c>
      <c r="D7" t="s">
        <v>40</v>
      </c>
      <c r="E7">
        <v>6</v>
      </c>
      <c r="F7">
        <f t="shared" si="0"/>
        <v>1.300000000847173E-8</v>
      </c>
      <c r="G7">
        <f t="shared" si="1"/>
        <v>7.769521624156722</v>
      </c>
      <c r="H7">
        <f t="shared" si="2"/>
        <v>5.6326360169604373</v>
      </c>
      <c r="I7">
        <f t="shared" si="4"/>
        <v>0.40022832995556668</v>
      </c>
      <c r="U7">
        <f>SUM(U4:U6)</f>
        <v>263.17953330763044</v>
      </c>
    </row>
    <row r="8" spans="1:21" x14ac:dyDescent="0.45">
      <c r="A8" s="3">
        <v>0.29166666666666702</v>
      </c>
      <c r="B8" s="3">
        <v>0.29166666666666702</v>
      </c>
      <c r="C8" s="1">
        <f t="shared" ca="1" si="3"/>
        <v>42886</v>
      </c>
      <c r="D8" t="s">
        <v>41</v>
      </c>
      <c r="E8">
        <v>7</v>
      </c>
      <c r="F8">
        <f t="shared" si="0"/>
        <v>1.500000000968229E-8</v>
      </c>
      <c r="G8">
        <f t="shared" si="1"/>
        <v>9.0644418946828438</v>
      </c>
      <c r="H8">
        <f t="shared" si="2"/>
        <v>6.1486393869476146</v>
      </c>
      <c r="I8">
        <f t="shared" si="4"/>
        <v>2.2093667352162696E-2</v>
      </c>
    </row>
    <row r="9" spans="1:21" x14ac:dyDescent="0.45">
      <c r="A9" s="3">
        <v>0.33333333333333298</v>
      </c>
      <c r="B9" s="3">
        <v>0.33333333333333298</v>
      </c>
      <c r="C9" s="1">
        <f t="shared" ca="1" si="3"/>
        <v>42887</v>
      </c>
      <c r="D9" t="s">
        <v>42</v>
      </c>
      <c r="E9">
        <v>8</v>
      </c>
      <c r="F9">
        <f t="shared" si="0"/>
        <v>1.700000001089285E-8</v>
      </c>
      <c r="G9">
        <f t="shared" si="1"/>
        <v>10.359362165208964</v>
      </c>
      <c r="H9">
        <f t="shared" si="2"/>
        <v>6.6646427569347928</v>
      </c>
      <c r="I9">
        <f t="shared" si="4"/>
        <v>0.11246448047629647</v>
      </c>
    </row>
    <row r="10" spans="1:21" x14ac:dyDescent="0.45">
      <c r="A10" s="3">
        <v>0.375</v>
      </c>
      <c r="B10" s="3">
        <v>0.375</v>
      </c>
      <c r="C10" s="1">
        <f t="shared" ca="1" si="3"/>
        <v>42888</v>
      </c>
      <c r="D10" t="s">
        <v>43</v>
      </c>
      <c r="E10">
        <v>9</v>
      </c>
      <c r="F10">
        <f t="shared" si="0"/>
        <v>1.9000000012103411E-8</v>
      </c>
      <c r="G10">
        <f t="shared" si="1"/>
        <v>11.654282435735084</v>
      </c>
      <c r="H10">
        <f t="shared" si="2"/>
        <v>7.1806461269219692</v>
      </c>
      <c r="I10">
        <f t="shared" si="4"/>
        <v>0.67134076932796971</v>
      </c>
    </row>
    <row r="11" spans="1:21" x14ac:dyDescent="0.45">
      <c r="A11" s="3">
        <v>0.41666666666666702</v>
      </c>
      <c r="B11" s="3">
        <v>0.41666666666666702</v>
      </c>
      <c r="C11" s="1">
        <f t="shared" ca="1" si="3"/>
        <v>42889</v>
      </c>
      <c r="D11" t="s">
        <v>44</v>
      </c>
      <c r="E11">
        <v>10</v>
      </c>
      <c r="F11">
        <f t="shared" si="0"/>
        <v>1.300000000364703E-8</v>
      </c>
      <c r="G11">
        <f t="shared" si="1"/>
        <v>12.949202698261203</v>
      </c>
      <c r="H11">
        <f t="shared" si="2"/>
        <v>7.6966494924247417</v>
      </c>
      <c r="I11">
        <f t="shared" si="4"/>
        <v>1.6987225455966835</v>
      </c>
    </row>
    <row r="12" spans="1:21" x14ac:dyDescent="0.45">
      <c r="A12" s="3">
        <v>0.45833333333333298</v>
      </c>
      <c r="B12" s="3">
        <v>0.45833333333333298</v>
      </c>
      <c r="C12" s="1">
        <f t="shared" ca="1" si="3"/>
        <v>42890</v>
      </c>
      <c r="D12" t="s">
        <v>45</v>
      </c>
      <c r="E12">
        <v>3</v>
      </c>
      <c r="F12">
        <f t="shared" si="0"/>
        <v>4.0000000012149458E-9</v>
      </c>
      <c r="G12">
        <f t="shared" si="1"/>
        <v>3.8847608095783612</v>
      </c>
      <c r="H12">
        <f t="shared" si="2"/>
        <v>4.0846259053172531</v>
      </c>
      <c r="I12">
        <f t="shared" si="4"/>
        <v>34.991650680043726</v>
      </c>
    </row>
    <row r="13" spans="1:21" x14ac:dyDescent="0.45">
      <c r="A13" s="3">
        <v>0.5</v>
      </c>
      <c r="B13" s="3">
        <v>0.5</v>
      </c>
      <c r="C13" s="1">
        <f t="shared" ca="1" si="3"/>
        <v>42891</v>
      </c>
      <c r="D13" t="s">
        <v>46</v>
      </c>
      <c r="E13">
        <v>1</v>
      </c>
      <c r="F13">
        <f t="shared" si="0"/>
        <v>4.0000000036272956E-9</v>
      </c>
      <c r="G13">
        <f t="shared" si="1"/>
        <v>1.2949202725261204</v>
      </c>
      <c r="H13">
        <f t="shared" si="2"/>
        <v>3.0526191675851018</v>
      </c>
      <c r="I13">
        <f t="shared" si="4"/>
        <v>2.7687767973490246E-3</v>
      </c>
    </row>
    <row r="14" spans="1:21" x14ac:dyDescent="0.45">
      <c r="A14" s="3">
        <v>0.54166666666666696</v>
      </c>
      <c r="B14" s="3">
        <v>0.54166666666666696</v>
      </c>
      <c r="C14" s="1">
        <f t="shared" ca="1" si="3"/>
        <v>42892</v>
      </c>
      <c r="D14" t="s">
        <v>47</v>
      </c>
      <c r="E14">
        <v>3</v>
      </c>
      <c r="F14">
        <f t="shared" si="0"/>
        <v>7.0000000048400486E-9</v>
      </c>
      <c r="G14">
        <f t="shared" si="1"/>
        <v>3.884760812578361</v>
      </c>
      <c r="H14">
        <f t="shared" si="2"/>
        <v>4.0846259069989053</v>
      </c>
      <c r="I14">
        <f t="shared" si="4"/>
        <v>9.514916986128819</v>
      </c>
    </row>
    <row r="15" spans="1:21" x14ac:dyDescent="0.45">
      <c r="A15" s="3">
        <v>0.58333333333333304</v>
      </c>
      <c r="B15" s="3">
        <v>0.58333333333333304</v>
      </c>
      <c r="C15" s="1">
        <f t="shared" ca="1" si="3"/>
        <v>42893</v>
      </c>
      <c r="D15" t="s">
        <v>48</v>
      </c>
      <c r="E15">
        <v>4</v>
      </c>
      <c r="F15">
        <f>SUMPRODUCT($E15:$E16,L$2:L$3)</f>
        <v>9.000000006050609E-9</v>
      </c>
      <c r="G15">
        <f>SUMPRODUCT($E15:$E16,M$2:M$3)</f>
        <v>5.1796810831044819</v>
      </c>
      <c r="H15">
        <f>(F15 + $L$4)*$N$2+(G15 + $M$4)*$N$3+$N$4</f>
        <v>4.6006292769860826</v>
      </c>
      <c r="I15">
        <f>(E14 - H15)^2</f>
        <v>2.5620140823449895</v>
      </c>
    </row>
    <row r="16" spans="1:21" x14ac:dyDescent="0.45">
      <c r="A16" s="3">
        <v>0.625</v>
      </c>
      <c r="B16" s="3">
        <v>0.625</v>
      </c>
      <c r="C16" s="1">
        <f t="shared" ca="1" si="3"/>
        <v>42894</v>
      </c>
      <c r="D16" t="s">
        <v>49</v>
      </c>
      <c r="E16">
        <v>5</v>
      </c>
      <c r="F16"/>
      <c r="G16"/>
      <c r="H16"/>
      <c r="I16"/>
    </row>
    <row r="17" spans="1:4" x14ac:dyDescent="0.45">
      <c r="A17" s="3">
        <v>0.66666666666666696</v>
      </c>
      <c r="B17" s="3">
        <v>0.66666666666666696</v>
      </c>
      <c r="C17" s="1">
        <f t="shared" ca="1" si="3"/>
        <v>42895</v>
      </c>
      <c r="D17" t="s">
        <v>50</v>
      </c>
    </row>
    <row r="18" spans="1:4" x14ac:dyDescent="0.45">
      <c r="A18" s="3">
        <v>0.70833333333333304</v>
      </c>
      <c r="B18" s="3">
        <v>0.70833333333333304</v>
      </c>
      <c r="C18" s="1">
        <f t="shared" ca="1" si="3"/>
        <v>42896</v>
      </c>
      <c r="D18" t="s">
        <v>51</v>
      </c>
    </row>
    <row r="19" spans="1:4" x14ac:dyDescent="0.45">
      <c r="A19" s="3">
        <v>0.75</v>
      </c>
      <c r="B19" s="3">
        <v>0.75</v>
      </c>
      <c r="C19" s="1">
        <f t="shared" ca="1" si="3"/>
        <v>42897</v>
      </c>
      <c r="D19" t="s">
        <v>52</v>
      </c>
    </row>
    <row r="20" spans="1:4" x14ac:dyDescent="0.45">
      <c r="A20" s="3">
        <v>0.79166666666666696</v>
      </c>
      <c r="B20" s="3">
        <v>0.79166666666666696</v>
      </c>
      <c r="C20" s="1">
        <f t="shared" ca="1" si="3"/>
        <v>42898</v>
      </c>
      <c r="D20" t="s">
        <v>53</v>
      </c>
    </row>
    <row r="21" spans="1:4" x14ac:dyDescent="0.45">
      <c r="A21" s="3">
        <v>0.83333333333333304</v>
      </c>
      <c r="B21" s="3">
        <v>0.83333333333333304</v>
      </c>
      <c r="C21" s="1">
        <f t="shared" ca="1" si="3"/>
        <v>42899</v>
      </c>
      <c r="D21" t="s">
        <v>54</v>
      </c>
    </row>
    <row r="22" spans="1:4" x14ac:dyDescent="0.45">
      <c r="A22" s="3">
        <v>0.875</v>
      </c>
      <c r="B22" s="3">
        <v>0.875</v>
      </c>
      <c r="C22" s="1">
        <f t="shared" ca="1" si="3"/>
        <v>42900</v>
      </c>
      <c r="D22" t="s">
        <v>45</v>
      </c>
    </row>
    <row r="23" spans="1:4" x14ac:dyDescent="0.45">
      <c r="A23" s="3">
        <v>0.91666666666666696</v>
      </c>
      <c r="B23" s="3">
        <v>0.91666666666666696</v>
      </c>
      <c r="C23" s="1">
        <f t="shared" ca="1" si="3"/>
        <v>42901</v>
      </c>
      <c r="D23" t="s">
        <v>55</v>
      </c>
    </row>
    <row r="24" spans="1:4" x14ac:dyDescent="0.45">
      <c r="A24" s="3">
        <v>0.95833333333333304</v>
      </c>
      <c r="B24" s="3">
        <v>0.95833333333333304</v>
      </c>
      <c r="C24" s="1">
        <f t="shared" ca="1" si="3"/>
        <v>42902</v>
      </c>
      <c r="D24" t="s">
        <v>56</v>
      </c>
    </row>
    <row r="25" spans="1:4" x14ac:dyDescent="0.45">
      <c r="A25" s="3" t="str">
        <f>IF(E1&lt;&gt;"",E1,"")</f>
        <v/>
      </c>
      <c r="B25" t="b">
        <v>1</v>
      </c>
      <c r="C25" s="1">
        <f t="shared" ca="1" si="3"/>
        <v>42903</v>
      </c>
      <c r="D25" t="s">
        <v>57</v>
      </c>
    </row>
    <row r="26" spans="1:4" x14ac:dyDescent="0.45">
      <c r="A26" s="3">
        <f>IF(E4&lt;&gt;"",E4,"")</f>
        <v>4</v>
      </c>
      <c r="B26" s="2">
        <v>1</v>
      </c>
      <c r="C26" s="1">
        <f t="shared" ca="1" si="3"/>
        <v>42904</v>
      </c>
      <c r="D26" t="s">
        <v>49</v>
      </c>
    </row>
    <row r="27" spans="1:4" x14ac:dyDescent="0.45">
      <c r="A27" s="3">
        <f>IF(E7&lt;&gt;"",E7,"")</f>
        <v>6</v>
      </c>
      <c r="B27" s="2">
        <v>2</v>
      </c>
      <c r="C27" s="1">
        <f t="shared" ca="1" si="3"/>
        <v>42905</v>
      </c>
      <c r="D27" t="s">
        <v>58</v>
      </c>
    </row>
    <row r="28" spans="1:4" x14ac:dyDescent="0.45">
      <c r="A28" s="3">
        <f>IF(E10&lt;&gt;"",E10,"")</f>
        <v>9</v>
      </c>
      <c r="B28" s="2">
        <v>3</v>
      </c>
      <c r="C28" s="1">
        <f t="shared" ca="1" si="3"/>
        <v>42906</v>
      </c>
      <c r="D28" t="s">
        <v>59</v>
      </c>
    </row>
    <row r="29" spans="1:4" x14ac:dyDescent="0.45">
      <c r="A29" s="3">
        <f>IF(E13&lt;&gt;"",E13,"")</f>
        <v>1</v>
      </c>
      <c r="B29" s="2">
        <v>4</v>
      </c>
      <c r="C29" s="1">
        <f t="shared" ca="1" si="3"/>
        <v>42907</v>
      </c>
      <c r="D29" t="s">
        <v>60</v>
      </c>
    </row>
    <row r="30" spans="1:4" x14ac:dyDescent="0.45">
      <c r="A30" s="3">
        <f>IF(E16&lt;&gt;"",E16,"")</f>
        <v>5</v>
      </c>
      <c r="B30" s="2">
        <v>5</v>
      </c>
      <c r="C30" s="1">
        <f t="shared" ca="1" si="3"/>
        <v>42908</v>
      </c>
      <c r="D30" t="s">
        <v>61</v>
      </c>
    </row>
    <row r="31" spans="1:4" x14ac:dyDescent="0.45">
      <c r="A31" t="s">
        <v>1</v>
      </c>
      <c r="B31" s="2">
        <v>6</v>
      </c>
      <c r="C31" s="1">
        <f t="shared" ca="1" si="3"/>
        <v>42909</v>
      </c>
      <c r="D31" t="s">
        <v>62</v>
      </c>
    </row>
    <row r="32" spans="1:4" x14ac:dyDescent="0.45">
      <c r="A32" t="s">
        <v>2</v>
      </c>
      <c r="B32" s="2">
        <v>7</v>
      </c>
      <c r="C32" s="1">
        <f t="shared" ca="1" si="3"/>
        <v>42910</v>
      </c>
      <c r="D32" t="s">
        <v>48</v>
      </c>
    </row>
    <row r="33" spans="1:4" x14ac:dyDescent="0.45">
      <c r="A33" t="s">
        <v>3</v>
      </c>
      <c r="B33" s="2">
        <v>8</v>
      </c>
      <c r="C33" s="1">
        <f t="shared" ca="1" si="3"/>
        <v>42911</v>
      </c>
      <c r="D33" t="s">
        <v>63</v>
      </c>
    </row>
    <row r="34" spans="1:4" x14ac:dyDescent="0.45">
      <c r="A34" t="s">
        <v>4</v>
      </c>
      <c r="B34" s="2">
        <v>9</v>
      </c>
      <c r="C34" s="1">
        <f t="shared" ca="1" si="3"/>
        <v>42912</v>
      </c>
      <c r="D34" t="s">
        <v>50</v>
      </c>
    </row>
    <row r="35" spans="1:4" x14ac:dyDescent="0.45">
      <c r="A35" t="s">
        <v>5</v>
      </c>
      <c r="B35" s="2">
        <v>10</v>
      </c>
      <c r="C35" s="1">
        <f t="shared" ca="1" si="3"/>
        <v>42913</v>
      </c>
      <c r="D35" t="s">
        <v>51</v>
      </c>
    </row>
    <row r="36" spans="1:4" x14ac:dyDescent="0.45">
      <c r="A36" t="s">
        <v>6</v>
      </c>
      <c r="C36" s="1">
        <f t="shared" ca="1" si="3"/>
        <v>42914</v>
      </c>
      <c r="D36" t="s">
        <v>64</v>
      </c>
    </row>
    <row r="37" spans="1:4" x14ac:dyDescent="0.45">
      <c r="C37" s="1">
        <f t="shared" ca="1" si="3"/>
        <v>42915</v>
      </c>
      <c r="D37" t="s">
        <v>65</v>
      </c>
    </row>
    <row r="38" spans="1:4" x14ac:dyDescent="0.45">
      <c r="C38" s="1">
        <f t="shared" ca="1" si="3"/>
        <v>42916</v>
      </c>
      <c r="D38" t="s">
        <v>53</v>
      </c>
    </row>
    <row r="39" spans="1:4" x14ac:dyDescent="0.45">
      <c r="C39" s="1">
        <f t="shared" ca="1" si="3"/>
        <v>42917</v>
      </c>
      <c r="D39" t="s">
        <v>54</v>
      </c>
    </row>
    <row r="40" spans="1:4" x14ac:dyDescent="0.45">
      <c r="C40" s="1">
        <f t="shared" ca="1" si="3"/>
        <v>42918</v>
      </c>
      <c r="D40" t="s">
        <v>66</v>
      </c>
    </row>
    <row r="41" spans="1:4" x14ac:dyDescent="0.45">
      <c r="C41" s="1">
        <f t="shared" ca="1" si="3"/>
        <v>42919</v>
      </c>
      <c r="D41" t="s">
        <v>67</v>
      </c>
    </row>
    <row r="42" spans="1:4" x14ac:dyDescent="0.45">
      <c r="C42" s="1">
        <f t="shared" ca="1" si="3"/>
        <v>42920</v>
      </c>
      <c r="D42" t="s">
        <v>68</v>
      </c>
    </row>
    <row r="43" spans="1:4" x14ac:dyDescent="0.45">
      <c r="C43" s="1">
        <f t="shared" ca="1" si="3"/>
        <v>42921</v>
      </c>
      <c r="D43" t="s">
        <v>69</v>
      </c>
    </row>
    <row r="44" spans="1:4" x14ac:dyDescent="0.45">
      <c r="C44" s="1">
        <f t="shared" ca="1" si="3"/>
        <v>42922</v>
      </c>
      <c r="D44" t="s">
        <v>70</v>
      </c>
    </row>
    <row r="45" spans="1:4" x14ac:dyDescent="0.45">
      <c r="C45" s="1">
        <f t="shared" ca="1" si="3"/>
        <v>42923</v>
      </c>
      <c r="D45" t="s">
        <v>71</v>
      </c>
    </row>
    <row r="46" spans="1:4" x14ac:dyDescent="0.45">
      <c r="C46" s="1">
        <f t="shared" ca="1" si="3"/>
        <v>42924</v>
      </c>
      <c r="D46" t="s">
        <v>72</v>
      </c>
    </row>
    <row r="47" spans="1:4" x14ac:dyDescent="0.45">
      <c r="C47" s="1">
        <f t="shared" ca="1" si="3"/>
        <v>42925</v>
      </c>
      <c r="D47" t="s">
        <v>73</v>
      </c>
    </row>
    <row r="48" spans="1:4" x14ac:dyDescent="0.45">
      <c r="C48" s="1">
        <f t="shared" ca="1" si="3"/>
        <v>42926</v>
      </c>
      <c r="D48" t="s">
        <v>74</v>
      </c>
    </row>
    <row r="49" spans="3:4" x14ac:dyDescent="0.45">
      <c r="C49" s="1">
        <f t="shared" ca="1" si="3"/>
        <v>42927</v>
      </c>
      <c r="D49" t="s">
        <v>75</v>
      </c>
    </row>
    <row r="50" spans="3:4" x14ac:dyDescent="0.45">
      <c r="C50" s="1">
        <f t="shared" ca="1" si="3"/>
        <v>42928</v>
      </c>
      <c r="D50" t="s">
        <v>76</v>
      </c>
    </row>
    <row r="51" spans="3:4" x14ac:dyDescent="0.45">
      <c r="C51" s="1">
        <f t="shared" ca="1" si="3"/>
        <v>42929</v>
      </c>
      <c r="D51" t="s">
        <v>77</v>
      </c>
    </row>
    <row r="52" spans="3:4" x14ac:dyDescent="0.45">
      <c r="C52" s="1">
        <f t="shared" ca="1" si="3"/>
        <v>42930</v>
      </c>
      <c r="D52" t="s">
        <v>78</v>
      </c>
    </row>
    <row r="53" spans="3:4" x14ac:dyDescent="0.45">
      <c r="C53" s="1">
        <f t="shared" ca="1" si="3"/>
        <v>42931</v>
      </c>
      <c r="D53" t="s">
        <v>79</v>
      </c>
    </row>
    <row r="54" spans="3:4" x14ac:dyDescent="0.45">
      <c r="C54" s="1">
        <f t="shared" ca="1" si="3"/>
        <v>42932</v>
      </c>
      <c r="D54" t="s">
        <v>80</v>
      </c>
    </row>
    <row r="55" spans="3:4" x14ac:dyDescent="0.45">
      <c r="C55" s="1">
        <f t="shared" ca="1" si="3"/>
        <v>42933</v>
      </c>
      <c r="D55" t="s">
        <v>81</v>
      </c>
    </row>
    <row r="56" spans="3:4" x14ac:dyDescent="0.45">
      <c r="C56" s="1">
        <f t="shared" ca="1" si="3"/>
        <v>42934</v>
      </c>
      <c r="D56" t="s">
        <v>82</v>
      </c>
    </row>
    <row r="57" spans="3:4" x14ac:dyDescent="0.45">
      <c r="C57" s="1">
        <f t="shared" ca="1" si="3"/>
        <v>42935</v>
      </c>
      <c r="D57" t="s">
        <v>83</v>
      </c>
    </row>
    <row r="58" spans="3:4" x14ac:dyDescent="0.45">
      <c r="C58" s="1">
        <f t="shared" ca="1" si="3"/>
        <v>42936</v>
      </c>
      <c r="D58" t="s">
        <v>84</v>
      </c>
    </row>
    <row r="59" spans="3:4" x14ac:dyDescent="0.45">
      <c r="C59" s="1">
        <f t="shared" ca="1" si="3"/>
        <v>42937</v>
      </c>
      <c r="D59" t="s">
        <v>85</v>
      </c>
    </row>
    <row r="60" spans="3:4" x14ac:dyDescent="0.45">
      <c r="C60" s="1">
        <f t="shared" ca="1" si="3"/>
        <v>42938</v>
      </c>
      <c r="D60" t="s">
        <v>86</v>
      </c>
    </row>
    <row r="61" spans="3:4" x14ac:dyDescent="0.45">
      <c r="C61" s="1">
        <f t="shared" ca="1" si="3"/>
        <v>42939</v>
      </c>
      <c r="D61" t="s">
        <v>87</v>
      </c>
    </row>
    <row r="62" spans="3:4" x14ac:dyDescent="0.45">
      <c r="C62" s="1">
        <f t="shared" ca="1" si="3"/>
        <v>42940</v>
      </c>
      <c r="D62" t="s">
        <v>88</v>
      </c>
    </row>
    <row r="63" spans="3:4" x14ac:dyDescent="0.45">
      <c r="C63" s="1">
        <f t="shared" ca="1" si="3"/>
        <v>42941</v>
      </c>
      <c r="D63" t="s">
        <v>66</v>
      </c>
    </row>
    <row r="64" spans="3:4" x14ac:dyDescent="0.45">
      <c r="C64" s="1">
        <f t="shared" ca="1" si="3"/>
        <v>42942</v>
      </c>
      <c r="D64" t="s">
        <v>89</v>
      </c>
    </row>
    <row r="65" spans="3:4" x14ac:dyDescent="0.45">
      <c r="C65" s="1">
        <f t="shared" ca="1" si="3"/>
        <v>42943</v>
      </c>
      <c r="D65" t="s">
        <v>90</v>
      </c>
    </row>
    <row r="66" spans="3:4" x14ac:dyDescent="0.45">
      <c r="C66" s="1">
        <f t="shared" ca="1" si="3"/>
        <v>42944</v>
      </c>
      <c r="D66" t="s">
        <v>69</v>
      </c>
    </row>
    <row r="67" spans="3:4" x14ac:dyDescent="0.45">
      <c r="C67" s="1">
        <f t="shared" ref="C67:C130" ca="1" si="5">C66+1</f>
        <v>42945</v>
      </c>
      <c r="D67" t="s">
        <v>91</v>
      </c>
    </row>
    <row r="68" spans="3:4" x14ac:dyDescent="0.45">
      <c r="C68" s="1">
        <f t="shared" ca="1" si="5"/>
        <v>42946</v>
      </c>
      <c r="D68" t="s">
        <v>92</v>
      </c>
    </row>
    <row r="69" spans="3:4" x14ac:dyDescent="0.45">
      <c r="C69" s="1">
        <f t="shared" ca="1" si="5"/>
        <v>42947</v>
      </c>
      <c r="D69" t="s">
        <v>93</v>
      </c>
    </row>
    <row r="70" spans="3:4" x14ac:dyDescent="0.45">
      <c r="C70" s="1">
        <f t="shared" ca="1" si="5"/>
        <v>42948</v>
      </c>
      <c r="D70" t="s">
        <v>76</v>
      </c>
    </row>
    <row r="71" spans="3:4" x14ac:dyDescent="0.45">
      <c r="C71" s="1">
        <f t="shared" ca="1" si="5"/>
        <v>42949</v>
      </c>
      <c r="D71" t="s">
        <v>77</v>
      </c>
    </row>
    <row r="72" spans="3:4" x14ac:dyDescent="0.45">
      <c r="C72" s="1">
        <f t="shared" ca="1" si="5"/>
        <v>42950</v>
      </c>
      <c r="D72" t="s">
        <v>94</v>
      </c>
    </row>
    <row r="73" spans="3:4" x14ac:dyDescent="0.45">
      <c r="C73" s="1">
        <f t="shared" ca="1" si="5"/>
        <v>42951</v>
      </c>
      <c r="D73" t="s">
        <v>95</v>
      </c>
    </row>
    <row r="74" spans="3:4" x14ac:dyDescent="0.45">
      <c r="C74" s="1">
        <f t="shared" ca="1" si="5"/>
        <v>42952</v>
      </c>
      <c r="D74" t="s">
        <v>96</v>
      </c>
    </row>
    <row r="75" spans="3:4" x14ac:dyDescent="0.45">
      <c r="C75" s="1">
        <f t="shared" ca="1" si="5"/>
        <v>42953</v>
      </c>
      <c r="D75" t="s">
        <v>97</v>
      </c>
    </row>
    <row r="76" spans="3:4" x14ac:dyDescent="0.45">
      <c r="C76" s="1">
        <f t="shared" ca="1" si="5"/>
        <v>42954</v>
      </c>
      <c r="D76" t="s">
        <v>98</v>
      </c>
    </row>
    <row r="77" spans="3:4" x14ac:dyDescent="0.45">
      <c r="C77" s="1">
        <f t="shared" ca="1" si="5"/>
        <v>42955</v>
      </c>
      <c r="D77" t="s">
        <v>99</v>
      </c>
    </row>
    <row r="78" spans="3:4" x14ac:dyDescent="0.45">
      <c r="C78" s="1">
        <f t="shared" ca="1" si="5"/>
        <v>42956</v>
      </c>
      <c r="D78" t="s">
        <v>84</v>
      </c>
    </row>
    <row r="79" spans="3:4" x14ac:dyDescent="0.45">
      <c r="C79" s="1">
        <f t="shared" ca="1" si="5"/>
        <v>42957</v>
      </c>
      <c r="D79" t="s">
        <v>85</v>
      </c>
    </row>
    <row r="80" spans="3:4" x14ac:dyDescent="0.45">
      <c r="C80" s="1">
        <f t="shared" ca="1" si="5"/>
        <v>42958</v>
      </c>
      <c r="D80" t="s">
        <v>100</v>
      </c>
    </row>
    <row r="81" spans="3:4" x14ac:dyDescent="0.45">
      <c r="C81" s="1">
        <f t="shared" ca="1" si="5"/>
        <v>42959</v>
      </c>
      <c r="D81" t="s">
        <v>101</v>
      </c>
    </row>
    <row r="82" spans="3:4" x14ac:dyDescent="0.45">
      <c r="C82" s="1">
        <f t="shared" ca="1" si="5"/>
        <v>42960</v>
      </c>
      <c r="D82" t="s">
        <v>88</v>
      </c>
    </row>
    <row r="83" spans="3:4" x14ac:dyDescent="0.45">
      <c r="C83" s="1">
        <f t="shared" ca="1" si="5"/>
        <v>42961</v>
      </c>
      <c r="D83" t="s">
        <v>66</v>
      </c>
    </row>
    <row r="84" spans="3:4" x14ac:dyDescent="0.45">
      <c r="C84" s="1">
        <f t="shared" ca="1" si="5"/>
        <v>42962</v>
      </c>
      <c r="D84" t="s">
        <v>102</v>
      </c>
    </row>
    <row r="85" spans="3:4" x14ac:dyDescent="0.45">
      <c r="C85" s="1">
        <f t="shared" ca="1" si="5"/>
        <v>42963</v>
      </c>
      <c r="D85" t="s">
        <v>103</v>
      </c>
    </row>
    <row r="86" spans="3:4" x14ac:dyDescent="0.45">
      <c r="C86" s="1">
        <f t="shared" ca="1" si="5"/>
        <v>42964</v>
      </c>
      <c r="D86" t="s">
        <v>69</v>
      </c>
    </row>
    <row r="87" spans="3:4" x14ac:dyDescent="0.45">
      <c r="C87" s="1">
        <f t="shared" ca="1" si="5"/>
        <v>42965</v>
      </c>
      <c r="D87" t="s">
        <v>91</v>
      </c>
    </row>
    <row r="88" spans="3:4" x14ac:dyDescent="0.45">
      <c r="C88" s="1">
        <f t="shared" ca="1" si="5"/>
        <v>42966</v>
      </c>
      <c r="D88" t="s">
        <v>92</v>
      </c>
    </row>
    <row r="89" spans="3:4" x14ac:dyDescent="0.45">
      <c r="C89" s="1">
        <f t="shared" ca="1" si="5"/>
        <v>42967</v>
      </c>
      <c r="D89" t="s">
        <v>104</v>
      </c>
    </row>
    <row r="90" spans="3:4" x14ac:dyDescent="0.45">
      <c r="C90" s="1">
        <f t="shared" ca="1" si="5"/>
        <v>42968</v>
      </c>
      <c r="D90" t="s">
        <v>76</v>
      </c>
    </row>
    <row r="91" spans="3:4" x14ac:dyDescent="0.45">
      <c r="C91" s="1">
        <f t="shared" ca="1" si="5"/>
        <v>42969</v>
      </c>
      <c r="D91" t="s">
        <v>77</v>
      </c>
    </row>
    <row r="92" spans="3:4" x14ac:dyDescent="0.45">
      <c r="C92" s="1">
        <f t="shared" ca="1" si="5"/>
        <v>42970</v>
      </c>
      <c r="D92" t="s">
        <v>94</v>
      </c>
    </row>
    <row r="93" spans="3:4" x14ac:dyDescent="0.45">
      <c r="C93" s="1">
        <f t="shared" ca="1" si="5"/>
        <v>42971</v>
      </c>
      <c r="D93" t="s">
        <v>95</v>
      </c>
    </row>
    <row r="94" spans="3:4" x14ac:dyDescent="0.45">
      <c r="C94" s="1">
        <f t="shared" ca="1" si="5"/>
        <v>42972</v>
      </c>
      <c r="D94" t="s">
        <v>105</v>
      </c>
    </row>
    <row r="95" spans="3:4" x14ac:dyDescent="0.45">
      <c r="C95" s="1">
        <f t="shared" ca="1" si="5"/>
        <v>42973</v>
      </c>
      <c r="D95" t="s">
        <v>106</v>
      </c>
    </row>
    <row r="96" spans="3:4" x14ac:dyDescent="0.45">
      <c r="C96" s="1">
        <f t="shared" ca="1" si="5"/>
        <v>42974</v>
      </c>
      <c r="D96" t="s">
        <v>107</v>
      </c>
    </row>
    <row r="97" spans="3:4" x14ac:dyDescent="0.45">
      <c r="C97" s="1">
        <f t="shared" ca="1" si="5"/>
        <v>42975</v>
      </c>
      <c r="D97" t="s">
        <v>108</v>
      </c>
    </row>
    <row r="98" spans="3:4" x14ac:dyDescent="0.45">
      <c r="C98" s="1">
        <f t="shared" ca="1" si="5"/>
        <v>42976</v>
      </c>
      <c r="D98" t="s">
        <v>84</v>
      </c>
    </row>
    <row r="99" spans="3:4" x14ac:dyDescent="0.45">
      <c r="C99" s="1">
        <f t="shared" ca="1" si="5"/>
        <v>42977</v>
      </c>
      <c r="D99" t="s">
        <v>85</v>
      </c>
    </row>
    <row r="100" spans="3:4" x14ac:dyDescent="0.45">
      <c r="C100" s="1">
        <f t="shared" ca="1" si="5"/>
        <v>42978</v>
      </c>
      <c r="D100" t="s">
        <v>109</v>
      </c>
    </row>
    <row r="101" spans="3:4" x14ac:dyDescent="0.45">
      <c r="C101" s="1">
        <f t="shared" ca="1" si="5"/>
        <v>42979</v>
      </c>
      <c r="D101" t="s">
        <v>101</v>
      </c>
    </row>
    <row r="102" spans="3:4" x14ac:dyDescent="0.45">
      <c r="C102" s="1">
        <f t="shared" ca="1" si="5"/>
        <v>42980</v>
      </c>
      <c r="D102" t="s">
        <v>88</v>
      </c>
    </row>
    <row r="103" spans="3:4" x14ac:dyDescent="0.45">
      <c r="C103" s="1">
        <f t="shared" ca="1" si="5"/>
        <v>42981</v>
      </c>
      <c r="D103" t="s">
        <v>66</v>
      </c>
    </row>
    <row r="104" spans="3:4" x14ac:dyDescent="0.45">
      <c r="C104" s="1">
        <f t="shared" ca="1" si="5"/>
        <v>42982</v>
      </c>
      <c r="D104" t="s">
        <v>110</v>
      </c>
    </row>
    <row r="105" spans="3:4" x14ac:dyDescent="0.45">
      <c r="C105" s="1">
        <f t="shared" ca="1" si="5"/>
        <v>42983</v>
      </c>
      <c r="D105" t="s">
        <v>111</v>
      </c>
    </row>
    <row r="106" spans="3:4" x14ac:dyDescent="0.45">
      <c r="C106" s="1">
        <f t="shared" ca="1" si="5"/>
        <v>42984</v>
      </c>
      <c r="D106" t="s">
        <v>69</v>
      </c>
    </row>
    <row r="107" spans="3:4" x14ac:dyDescent="0.45">
      <c r="C107" s="1">
        <f t="shared" ca="1" si="5"/>
        <v>42985</v>
      </c>
      <c r="D107" t="s">
        <v>112</v>
      </c>
    </row>
    <row r="108" spans="3:4" x14ac:dyDescent="0.45">
      <c r="C108" s="1">
        <f t="shared" ca="1" si="5"/>
        <v>42986</v>
      </c>
      <c r="D108" t="s">
        <v>113</v>
      </c>
    </row>
    <row r="109" spans="3:4" x14ac:dyDescent="0.45">
      <c r="C109" s="1">
        <f t="shared" ca="1" si="5"/>
        <v>42987</v>
      </c>
      <c r="D109" t="s">
        <v>114</v>
      </c>
    </row>
    <row r="110" spans="3:4" x14ac:dyDescent="0.45">
      <c r="C110" s="1">
        <f t="shared" ca="1" si="5"/>
        <v>42988</v>
      </c>
      <c r="D110" t="s">
        <v>115</v>
      </c>
    </row>
    <row r="111" spans="3:4" x14ac:dyDescent="0.45">
      <c r="C111" s="1">
        <f t="shared" ca="1" si="5"/>
        <v>42989</v>
      </c>
      <c r="D111" t="s">
        <v>76</v>
      </c>
    </row>
    <row r="112" spans="3:4" x14ac:dyDescent="0.45">
      <c r="C112" s="1">
        <f t="shared" ca="1" si="5"/>
        <v>42990</v>
      </c>
      <c r="D112" t="s">
        <v>77</v>
      </c>
    </row>
    <row r="113" spans="3:4" x14ac:dyDescent="0.45">
      <c r="C113" s="1">
        <f t="shared" ca="1" si="5"/>
        <v>42991</v>
      </c>
      <c r="D113" t="s">
        <v>116</v>
      </c>
    </row>
    <row r="114" spans="3:4" x14ac:dyDescent="0.45">
      <c r="C114" s="1">
        <f t="shared" ca="1" si="5"/>
        <v>42992</v>
      </c>
      <c r="D114" t="s">
        <v>117</v>
      </c>
    </row>
    <row r="115" spans="3:4" x14ac:dyDescent="0.45">
      <c r="C115" s="1">
        <f t="shared" ca="1" si="5"/>
        <v>42993</v>
      </c>
      <c r="D115" t="s">
        <v>118</v>
      </c>
    </row>
    <row r="116" spans="3:4" x14ac:dyDescent="0.45">
      <c r="C116" s="1">
        <f t="shared" ca="1" si="5"/>
        <v>42994</v>
      </c>
      <c r="D116" t="s">
        <v>119</v>
      </c>
    </row>
    <row r="117" spans="3:4" x14ac:dyDescent="0.45">
      <c r="C117" s="1">
        <f t="shared" ca="1" si="5"/>
        <v>42995</v>
      </c>
      <c r="D117" t="s">
        <v>120</v>
      </c>
    </row>
    <row r="118" spans="3:4" x14ac:dyDescent="0.45">
      <c r="C118" s="1">
        <f t="shared" ca="1" si="5"/>
        <v>42996</v>
      </c>
      <c r="D118" t="s">
        <v>121</v>
      </c>
    </row>
    <row r="119" spans="3:4" x14ac:dyDescent="0.45">
      <c r="C119" s="1">
        <f t="shared" ca="1" si="5"/>
        <v>42997</v>
      </c>
      <c r="D119" t="s">
        <v>122</v>
      </c>
    </row>
    <row r="120" spans="3:4" x14ac:dyDescent="0.45">
      <c r="C120" s="1">
        <f t="shared" ca="1" si="5"/>
        <v>42998</v>
      </c>
      <c r="D120" t="s">
        <v>123</v>
      </c>
    </row>
    <row r="121" spans="3:4" x14ac:dyDescent="0.45">
      <c r="C121" s="1">
        <f t="shared" ca="1" si="5"/>
        <v>42999</v>
      </c>
      <c r="D121" t="s">
        <v>124</v>
      </c>
    </row>
    <row r="122" spans="3:4" x14ac:dyDescent="0.45">
      <c r="C122" s="1">
        <f t="shared" ca="1" si="5"/>
        <v>43000</v>
      </c>
      <c r="D122" t="s">
        <v>125</v>
      </c>
    </row>
    <row r="123" spans="3:4" x14ac:dyDescent="0.45">
      <c r="C123" s="1">
        <f t="shared" ca="1" si="5"/>
        <v>43001</v>
      </c>
      <c r="D123" t="s">
        <v>126</v>
      </c>
    </row>
    <row r="124" spans="3:4" x14ac:dyDescent="0.45">
      <c r="C124" s="1">
        <f t="shared" ca="1" si="5"/>
        <v>43002</v>
      </c>
      <c r="D124" t="s">
        <v>127</v>
      </c>
    </row>
    <row r="125" spans="3:4" x14ac:dyDescent="0.45">
      <c r="C125" s="1">
        <f t="shared" ca="1" si="5"/>
        <v>43003</v>
      </c>
      <c r="D125" t="s">
        <v>84</v>
      </c>
    </row>
    <row r="126" spans="3:4" x14ac:dyDescent="0.45">
      <c r="C126" s="1">
        <f t="shared" ca="1" si="5"/>
        <v>43004</v>
      </c>
      <c r="D126" t="s">
        <v>85</v>
      </c>
    </row>
    <row r="127" spans="3:4" x14ac:dyDescent="0.45">
      <c r="C127" s="1">
        <f t="shared" ca="1" si="5"/>
        <v>43005</v>
      </c>
      <c r="D127" t="s">
        <v>128</v>
      </c>
    </row>
    <row r="128" spans="3:4" x14ac:dyDescent="0.45">
      <c r="C128" s="1">
        <f t="shared" ca="1" si="5"/>
        <v>43006</v>
      </c>
      <c r="D128" t="s">
        <v>87</v>
      </c>
    </row>
    <row r="129" spans="3:4" x14ac:dyDescent="0.45">
      <c r="C129" s="1">
        <f t="shared" ca="1" si="5"/>
        <v>43007</v>
      </c>
      <c r="D129" t="s">
        <v>88</v>
      </c>
    </row>
    <row r="130" spans="3:4" x14ac:dyDescent="0.45">
      <c r="C130" s="1">
        <f t="shared" ca="1" si="5"/>
        <v>43008</v>
      </c>
      <c r="D130" t="s">
        <v>66</v>
      </c>
    </row>
    <row r="131" spans="3:4" x14ac:dyDescent="0.45">
      <c r="C131" s="1">
        <f t="shared" ref="C131:C194" ca="1" si="6">C130+1</f>
        <v>43009</v>
      </c>
      <c r="D131" t="s">
        <v>129</v>
      </c>
    </row>
    <row r="132" spans="3:4" x14ac:dyDescent="0.45">
      <c r="C132" s="1">
        <f t="shared" ca="1" si="6"/>
        <v>43010</v>
      </c>
      <c r="D132" t="s">
        <v>130</v>
      </c>
    </row>
    <row r="133" spans="3:4" x14ac:dyDescent="0.45">
      <c r="C133" s="1">
        <f t="shared" ca="1" si="6"/>
        <v>43011</v>
      </c>
      <c r="D133" t="s">
        <v>69</v>
      </c>
    </row>
    <row r="134" spans="3:4" x14ac:dyDescent="0.45">
      <c r="C134" s="1">
        <f t="shared" ca="1" si="6"/>
        <v>43012</v>
      </c>
      <c r="D134" t="s">
        <v>131</v>
      </c>
    </row>
    <row r="135" spans="3:4" x14ac:dyDescent="0.45">
      <c r="C135" s="1">
        <f t="shared" ca="1" si="6"/>
        <v>43013</v>
      </c>
      <c r="D135" t="s">
        <v>132</v>
      </c>
    </row>
    <row r="136" spans="3:4" x14ac:dyDescent="0.45">
      <c r="C136" s="1">
        <f t="shared" ca="1" si="6"/>
        <v>43014</v>
      </c>
      <c r="D136" t="s">
        <v>133</v>
      </c>
    </row>
    <row r="137" spans="3:4" x14ac:dyDescent="0.45">
      <c r="C137" s="1">
        <f t="shared" ca="1" si="6"/>
        <v>43015</v>
      </c>
      <c r="D137" t="s">
        <v>134</v>
      </c>
    </row>
    <row r="138" spans="3:4" x14ac:dyDescent="0.45">
      <c r="C138" s="1">
        <f t="shared" ca="1" si="6"/>
        <v>43016</v>
      </c>
      <c r="D138" t="s">
        <v>127</v>
      </c>
    </row>
    <row r="139" spans="3:4" x14ac:dyDescent="0.45">
      <c r="C139" s="1">
        <f t="shared" ca="1" si="6"/>
        <v>43017</v>
      </c>
      <c r="D139" t="s">
        <v>84</v>
      </c>
    </row>
    <row r="140" spans="3:4" x14ac:dyDescent="0.45">
      <c r="C140" s="1">
        <f t="shared" ca="1" si="6"/>
        <v>43018</v>
      </c>
      <c r="D140" t="s">
        <v>85</v>
      </c>
    </row>
    <row r="141" spans="3:4" x14ac:dyDescent="0.45">
      <c r="C141" s="1">
        <f t="shared" ca="1" si="6"/>
        <v>43019</v>
      </c>
      <c r="D141" t="s">
        <v>135</v>
      </c>
    </row>
    <row r="142" spans="3:4" x14ac:dyDescent="0.45">
      <c r="C142" s="1">
        <f t="shared" ca="1" si="6"/>
        <v>43020</v>
      </c>
      <c r="D142" t="s">
        <v>87</v>
      </c>
    </row>
    <row r="143" spans="3:4" x14ac:dyDescent="0.45">
      <c r="C143" s="1">
        <f t="shared" ca="1" si="6"/>
        <v>43021</v>
      </c>
      <c r="D143" t="s">
        <v>88</v>
      </c>
    </row>
    <row r="144" spans="3:4" x14ac:dyDescent="0.45">
      <c r="C144" s="1">
        <f t="shared" ca="1" si="6"/>
        <v>43022</v>
      </c>
      <c r="D144" t="s">
        <v>66</v>
      </c>
    </row>
    <row r="145" spans="3:4" x14ac:dyDescent="0.45">
      <c r="C145" s="1">
        <f t="shared" ca="1" si="6"/>
        <v>43023</v>
      </c>
      <c r="D145" t="s">
        <v>136</v>
      </c>
    </row>
    <row r="146" spans="3:4" x14ac:dyDescent="0.45">
      <c r="C146" s="1">
        <f t="shared" ca="1" si="6"/>
        <v>43024</v>
      </c>
      <c r="D146" t="s">
        <v>137</v>
      </c>
    </row>
    <row r="147" spans="3:4" x14ac:dyDescent="0.45">
      <c r="C147" s="1">
        <f t="shared" ca="1" si="6"/>
        <v>43025</v>
      </c>
      <c r="D147" t="s">
        <v>69</v>
      </c>
    </row>
    <row r="148" spans="3:4" x14ac:dyDescent="0.45">
      <c r="C148" s="1">
        <f t="shared" ca="1" si="6"/>
        <v>43026</v>
      </c>
      <c r="D148" t="s">
        <v>138</v>
      </c>
    </row>
    <row r="149" spans="3:4" x14ac:dyDescent="0.45">
      <c r="C149" s="1">
        <f t="shared" ca="1" si="6"/>
        <v>43027</v>
      </c>
      <c r="D149" t="s">
        <v>132</v>
      </c>
    </row>
    <row r="150" spans="3:4" x14ac:dyDescent="0.45">
      <c r="C150" s="1">
        <f t="shared" ca="1" si="6"/>
        <v>43028</v>
      </c>
      <c r="D150" t="s">
        <v>133</v>
      </c>
    </row>
    <row r="151" spans="3:4" x14ac:dyDescent="0.45">
      <c r="C151" s="1">
        <f t="shared" ca="1" si="6"/>
        <v>43029</v>
      </c>
      <c r="D151" t="s">
        <v>134</v>
      </c>
    </row>
    <row r="152" spans="3:4" x14ac:dyDescent="0.45">
      <c r="C152" s="1">
        <f t="shared" ca="1" si="6"/>
        <v>43030</v>
      </c>
      <c r="D152" t="s">
        <v>127</v>
      </c>
    </row>
    <row r="153" spans="3:4" x14ac:dyDescent="0.45">
      <c r="C153" s="1">
        <f t="shared" ca="1" si="6"/>
        <v>43031</v>
      </c>
      <c r="D153" t="s">
        <v>139</v>
      </c>
    </row>
    <row r="154" spans="3:4" x14ac:dyDescent="0.45">
      <c r="C154" s="1">
        <f t="shared" ca="1" si="6"/>
        <v>43032</v>
      </c>
      <c r="D154" t="s">
        <v>85</v>
      </c>
    </row>
    <row r="155" spans="3:4" x14ac:dyDescent="0.45">
      <c r="C155" s="1">
        <f t="shared" ca="1" si="6"/>
        <v>43033</v>
      </c>
      <c r="D155" t="s">
        <v>140</v>
      </c>
    </row>
    <row r="156" spans="3:4" x14ac:dyDescent="0.45">
      <c r="C156" s="1">
        <f t="shared" ca="1" si="6"/>
        <v>43034</v>
      </c>
      <c r="D156" t="s">
        <v>87</v>
      </c>
    </row>
    <row r="157" spans="3:4" x14ac:dyDescent="0.45">
      <c r="C157" s="1">
        <f t="shared" ca="1" si="6"/>
        <v>43035</v>
      </c>
      <c r="D157" t="s">
        <v>88</v>
      </c>
    </row>
    <row r="158" spans="3:4" x14ac:dyDescent="0.45">
      <c r="C158" s="1">
        <f t="shared" ca="1" si="6"/>
        <v>43036</v>
      </c>
      <c r="D158" t="s">
        <v>66</v>
      </c>
    </row>
    <row r="159" spans="3:4" x14ac:dyDescent="0.45">
      <c r="C159" s="1">
        <f t="shared" ca="1" si="6"/>
        <v>43037</v>
      </c>
      <c r="D159" t="s">
        <v>141</v>
      </c>
    </row>
    <row r="160" spans="3:4" x14ac:dyDescent="0.45">
      <c r="C160" s="1">
        <f t="shared" ca="1" si="6"/>
        <v>43038</v>
      </c>
      <c r="D160" t="s">
        <v>142</v>
      </c>
    </row>
    <row r="161" spans="3:4" x14ac:dyDescent="0.45">
      <c r="C161" s="1">
        <f t="shared" ca="1" si="6"/>
        <v>43039</v>
      </c>
      <c r="D161" t="s">
        <v>69</v>
      </c>
    </row>
    <row r="162" spans="3:4" x14ac:dyDescent="0.45">
      <c r="C162" s="1">
        <f t="shared" ca="1" si="6"/>
        <v>43040</v>
      </c>
      <c r="D162" t="s">
        <v>143</v>
      </c>
    </row>
    <row r="163" spans="3:4" x14ac:dyDescent="0.45">
      <c r="C163" s="1">
        <f t="shared" ca="1" si="6"/>
        <v>43041</v>
      </c>
      <c r="D163" t="s">
        <v>132</v>
      </c>
    </row>
    <row r="164" spans="3:4" x14ac:dyDescent="0.45">
      <c r="C164" s="1">
        <f t="shared" ca="1" si="6"/>
        <v>43042</v>
      </c>
      <c r="D164" t="s">
        <v>133</v>
      </c>
    </row>
    <row r="165" spans="3:4" x14ac:dyDescent="0.45">
      <c r="C165" s="1">
        <f t="shared" ca="1" si="6"/>
        <v>43043</v>
      </c>
      <c r="D165" t="s">
        <v>134</v>
      </c>
    </row>
    <row r="166" spans="3:4" x14ac:dyDescent="0.45">
      <c r="C166" s="1">
        <f t="shared" ca="1" si="6"/>
        <v>43044</v>
      </c>
      <c r="D166" t="s">
        <v>144</v>
      </c>
    </row>
    <row r="167" spans="3:4" x14ac:dyDescent="0.45">
      <c r="C167" s="1">
        <f t="shared" ca="1" si="6"/>
        <v>43045</v>
      </c>
      <c r="D167" t="s">
        <v>84</v>
      </c>
    </row>
    <row r="168" spans="3:4" x14ac:dyDescent="0.45">
      <c r="C168" s="1">
        <f t="shared" ca="1" si="6"/>
        <v>43046</v>
      </c>
      <c r="D168" t="s">
        <v>85</v>
      </c>
    </row>
    <row r="169" spans="3:4" x14ac:dyDescent="0.45">
      <c r="C169" s="1">
        <f t="shared" ca="1" si="6"/>
        <v>43047</v>
      </c>
      <c r="D169" t="s">
        <v>145</v>
      </c>
    </row>
    <row r="170" spans="3:4" x14ac:dyDescent="0.45">
      <c r="C170" s="1">
        <f t="shared" ca="1" si="6"/>
        <v>43048</v>
      </c>
      <c r="D170" t="s">
        <v>87</v>
      </c>
    </row>
    <row r="171" spans="3:4" x14ac:dyDescent="0.45">
      <c r="C171" s="1">
        <f t="shared" ca="1" si="6"/>
        <v>43049</v>
      </c>
      <c r="D171" t="s">
        <v>88</v>
      </c>
    </row>
    <row r="172" spans="3:4" x14ac:dyDescent="0.45">
      <c r="C172" s="1">
        <f t="shared" ca="1" si="6"/>
        <v>43050</v>
      </c>
      <c r="D172" t="s">
        <v>66</v>
      </c>
    </row>
    <row r="173" spans="3:4" x14ac:dyDescent="0.45">
      <c r="C173" s="1">
        <f t="shared" ca="1" si="6"/>
        <v>43051</v>
      </c>
      <c r="D173" t="s">
        <v>146</v>
      </c>
    </row>
    <row r="174" spans="3:4" x14ac:dyDescent="0.45">
      <c r="C174" s="1">
        <f t="shared" ca="1" si="6"/>
        <v>43052</v>
      </c>
      <c r="D174" t="s">
        <v>147</v>
      </c>
    </row>
    <row r="175" spans="3:4" x14ac:dyDescent="0.45">
      <c r="C175" s="1">
        <f t="shared" ca="1" si="6"/>
        <v>43053</v>
      </c>
      <c r="D175" t="s">
        <v>69</v>
      </c>
    </row>
    <row r="176" spans="3:4" x14ac:dyDescent="0.45">
      <c r="C176" s="1">
        <f t="shared" ca="1" si="6"/>
        <v>43054</v>
      </c>
      <c r="D176" t="s">
        <v>148</v>
      </c>
    </row>
    <row r="177" spans="3:4" x14ac:dyDescent="0.45">
      <c r="C177" s="1">
        <f t="shared" ca="1" si="6"/>
        <v>43055</v>
      </c>
      <c r="D177" t="s">
        <v>132</v>
      </c>
    </row>
    <row r="178" spans="3:4" x14ac:dyDescent="0.45">
      <c r="C178" s="1">
        <f t="shared" ca="1" si="6"/>
        <v>43056</v>
      </c>
      <c r="D178" t="s">
        <v>133</v>
      </c>
    </row>
    <row r="179" spans="3:4" x14ac:dyDescent="0.45">
      <c r="C179" s="1">
        <f t="shared" ca="1" si="6"/>
        <v>43057</v>
      </c>
      <c r="D179" t="s">
        <v>134</v>
      </c>
    </row>
    <row r="180" spans="3:4" x14ac:dyDescent="0.45">
      <c r="C180" s="1">
        <f t="shared" ca="1" si="6"/>
        <v>43058</v>
      </c>
      <c r="D180" t="s">
        <v>127</v>
      </c>
    </row>
    <row r="181" spans="3:4" x14ac:dyDescent="0.45">
      <c r="C181" s="1">
        <f t="shared" ca="1" si="6"/>
        <v>43059</v>
      </c>
      <c r="D181" t="s">
        <v>84</v>
      </c>
    </row>
    <row r="182" spans="3:4" x14ac:dyDescent="0.45">
      <c r="C182" s="1">
        <f t="shared" ca="1" si="6"/>
        <v>43060</v>
      </c>
      <c r="D182" t="s">
        <v>85</v>
      </c>
    </row>
    <row r="183" spans="3:4" x14ac:dyDescent="0.45">
      <c r="C183" s="1">
        <f t="shared" ca="1" si="6"/>
        <v>43061</v>
      </c>
      <c r="D183" t="s">
        <v>149</v>
      </c>
    </row>
    <row r="184" spans="3:4" x14ac:dyDescent="0.45">
      <c r="C184" s="1">
        <f t="shared" ca="1" si="6"/>
        <v>43062</v>
      </c>
      <c r="D184" t="s">
        <v>87</v>
      </c>
    </row>
    <row r="185" spans="3:4" x14ac:dyDescent="0.45">
      <c r="C185" s="1">
        <f t="shared" ca="1" si="6"/>
        <v>43063</v>
      </c>
      <c r="D185" t="s">
        <v>88</v>
      </c>
    </row>
    <row r="186" spans="3:4" x14ac:dyDescent="0.45">
      <c r="C186" s="1">
        <f t="shared" ca="1" si="6"/>
        <v>43064</v>
      </c>
      <c r="D186" t="s">
        <v>66</v>
      </c>
    </row>
    <row r="187" spans="3:4" x14ac:dyDescent="0.45">
      <c r="C187" s="1">
        <f t="shared" ca="1" si="6"/>
        <v>43065</v>
      </c>
      <c r="D187" t="s">
        <v>150</v>
      </c>
    </row>
    <row r="188" spans="3:4" x14ac:dyDescent="0.45">
      <c r="C188" s="1">
        <f t="shared" ca="1" si="6"/>
        <v>43066</v>
      </c>
      <c r="D188" t="s">
        <v>151</v>
      </c>
    </row>
    <row r="189" spans="3:4" x14ac:dyDescent="0.45">
      <c r="C189" s="1">
        <f t="shared" ca="1" si="6"/>
        <v>43067</v>
      </c>
      <c r="D189" t="s">
        <v>69</v>
      </c>
    </row>
    <row r="190" spans="3:4" x14ac:dyDescent="0.45">
      <c r="C190" s="1">
        <f t="shared" ca="1" si="6"/>
        <v>43068</v>
      </c>
      <c r="D190" t="s">
        <v>152</v>
      </c>
    </row>
    <row r="191" spans="3:4" x14ac:dyDescent="0.45">
      <c r="C191" s="1">
        <f t="shared" ca="1" si="6"/>
        <v>43069</v>
      </c>
      <c r="D191" t="s">
        <v>132</v>
      </c>
    </row>
    <row r="192" spans="3:4" x14ac:dyDescent="0.45">
      <c r="C192" s="1">
        <f t="shared" ca="1" si="6"/>
        <v>43070</v>
      </c>
      <c r="D192" t="s">
        <v>133</v>
      </c>
    </row>
    <row r="193" spans="3:4" x14ac:dyDescent="0.45">
      <c r="C193" s="1">
        <f t="shared" ca="1" si="6"/>
        <v>43071</v>
      </c>
      <c r="D193" t="s">
        <v>134</v>
      </c>
    </row>
    <row r="194" spans="3:4" x14ac:dyDescent="0.45">
      <c r="C194" s="1">
        <f t="shared" ca="1" si="6"/>
        <v>43072</v>
      </c>
      <c r="D194" t="s">
        <v>127</v>
      </c>
    </row>
    <row r="195" spans="3:4" x14ac:dyDescent="0.45">
      <c r="C195" s="1">
        <f t="shared" ref="C195:C246" ca="1" si="7">C194+1</f>
        <v>43073</v>
      </c>
      <c r="D195" t="s">
        <v>84</v>
      </c>
    </row>
    <row r="196" spans="3:4" x14ac:dyDescent="0.45">
      <c r="C196" s="1">
        <f t="shared" ca="1" si="7"/>
        <v>43074</v>
      </c>
      <c r="D196" t="s">
        <v>85</v>
      </c>
    </row>
    <row r="197" spans="3:4" x14ac:dyDescent="0.45">
      <c r="C197" s="1">
        <f t="shared" ca="1" si="7"/>
        <v>43075</v>
      </c>
      <c r="D197" t="s">
        <v>153</v>
      </c>
    </row>
    <row r="198" spans="3:4" x14ac:dyDescent="0.45">
      <c r="C198" s="1">
        <f t="shared" ca="1" si="7"/>
        <v>43076</v>
      </c>
      <c r="D198" t="s">
        <v>87</v>
      </c>
    </row>
    <row r="199" spans="3:4" x14ac:dyDescent="0.45">
      <c r="C199" s="1">
        <f t="shared" ca="1" si="7"/>
        <v>43077</v>
      </c>
      <c r="D199" t="s">
        <v>88</v>
      </c>
    </row>
    <row r="200" spans="3:4" x14ac:dyDescent="0.45">
      <c r="C200" s="1">
        <f t="shared" ca="1" si="7"/>
        <v>43078</v>
      </c>
      <c r="D200" t="s">
        <v>66</v>
      </c>
    </row>
    <row r="201" spans="3:4" x14ac:dyDescent="0.45">
      <c r="C201" s="1">
        <f t="shared" ca="1" si="7"/>
        <v>43079</v>
      </c>
      <c r="D201" t="s">
        <v>154</v>
      </c>
    </row>
    <row r="202" spans="3:4" x14ac:dyDescent="0.45">
      <c r="C202" s="1">
        <f t="shared" ca="1" si="7"/>
        <v>43080</v>
      </c>
      <c r="D202" t="s">
        <v>155</v>
      </c>
    </row>
    <row r="203" spans="3:4" x14ac:dyDescent="0.45">
      <c r="C203" s="1">
        <f t="shared" ca="1" si="7"/>
        <v>43081</v>
      </c>
      <c r="D203" t="s">
        <v>156</v>
      </c>
    </row>
    <row r="204" spans="3:4" x14ac:dyDescent="0.45">
      <c r="C204" s="1">
        <f t="shared" ca="1" si="7"/>
        <v>43082</v>
      </c>
      <c r="D204" t="s">
        <v>69</v>
      </c>
    </row>
    <row r="205" spans="3:4" x14ac:dyDescent="0.45">
      <c r="C205" s="1">
        <f t="shared" ca="1" si="7"/>
        <v>43083</v>
      </c>
      <c r="D205" t="s">
        <v>157</v>
      </c>
    </row>
    <row r="206" spans="3:4" x14ac:dyDescent="0.45">
      <c r="C206" s="1">
        <f t="shared" ca="1" si="7"/>
        <v>43084</v>
      </c>
      <c r="D206" t="s">
        <v>132</v>
      </c>
    </row>
    <row r="207" spans="3:4" x14ac:dyDescent="0.45">
      <c r="C207" s="1">
        <f t="shared" ca="1" si="7"/>
        <v>43085</v>
      </c>
      <c r="D207" t="s">
        <v>133</v>
      </c>
    </row>
    <row r="208" spans="3:4" x14ac:dyDescent="0.45">
      <c r="C208" s="1">
        <f t="shared" ca="1" si="7"/>
        <v>43086</v>
      </c>
      <c r="D208" t="s">
        <v>134</v>
      </c>
    </row>
    <row r="209" spans="3:4" x14ac:dyDescent="0.45">
      <c r="C209" s="1">
        <f t="shared" ca="1" si="7"/>
        <v>43087</v>
      </c>
      <c r="D209" t="s">
        <v>158</v>
      </c>
    </row>
    <row r="210" spans="3:4" x14ac:dyDescent="0.45">
      <c r="C210" s="1">
        <f t="shared" ca="1" si="7"/>
        <v>43088</v>
      </c>
      <c r="D210" t="s">
        <v>84</v>
      </c>
    </row>
    <row r="211" spans="3:4" x14ac:dyDescent="0.45">
      <c r="C211" s="1">
        <f t="shared" ca="1" si="7"/>
        <v>43089</v>
      </c>
      <c r="D211" t="s">
        <v>85</v>
      </c>
    </row>
    <row r="212" spans="3:4" x14ac:dyDescent="0.45">
      <c r="C212" s="1">
        <f t="shared" ca="1" si="7"/>
        <v>43090</v>
      </c>
      <c r="D212" t="s">
        <v>159</v>
      </c>
    </row>
    <row r="213" spans="3:4" x14ac:dyDescent="0.45">
      <c r="C213" s="1">
        <f t="shared" ca="1" si="7"/>
        <v>43091</v>
      </c>
      <c r="D213" t="s">
        <v>101</v>
      </c>
    </row>
    <row r="214" spans="3:4" x14ac:dyDescent="0.45">
      <c r="C214" s="1">
        <f t="shared" ca="1" si="7"/>
        <v>43092</v>
      </c>
      <c r="D214" t="s">
        <v>88</v>
      </c>
    </row>
    <row r="215" spans="3:4" x14ac:dyDescent="0.45">
      <c r="C215" s="1">
        <f t="shared" ca="1" si="7"/>
        <v>43093</v>
      </c>
      <c r="D215" t="s">
        <v>66</v>
      </c>
    </row>
    <row r="216" spans="3:4" x14ac:dyDescent="0.45">
      <c r="C216" s="1">
        <f t="shared" ca="1" si="7"/>
        <v>43094</v>
      </c>
      <c r="D216" t="s">
        <v>160</v>
      </c>
    </row>
    <row r="217" spans="3:4" x14ac:dyDescent="0.45">
      <c r="C217" s="1">
        <f t="shared" ca="1" si="7"/>
        <v>43095</v>
      </c>
      <c r="D217" t="s">
        <v>161</v>
      </c>
    </row>
    <row r="218" spans="3:4" x14ac:dyDescent="0.45">
      <c r="C218" s="1">
        <f t="shared" ca="1" si="7"/>
        <v>43096</v>
      </c>
      <c r="D218" t="s">
        <v>69</v>
      </c>
    </row>
    <row r="219" spans="3:4" x14ac:dyDescent="0.45">
      <c r="C219" s="1">
        <f t="shared" ca="1" si="7"/>
        <v>43097</v>
      </c>
      <c r="D219" t="s">
        <v>162</v>
      </c>
    </row>
    <row r="220" spans="3:4" x14ac:dyDescent="0.45">
      <c r="C220" s="1">
        <f t="shared" ca="1" si="7"/>
        <v>43098</v>
      </c>
      <c r="D220" t="s">
        <v>132</v>
      </c>
    </row>
    <row r="221" spans="3:4" x14ac:dyDescent="0.45">
      <c r="C221" s="1">
        <f t="shared" ca="1" si="7"/>
        <v>43099</v>
      </c>
      <c r="D221" t="s">
        <v>133</v>
      </c>
    </row>
    <row r="222" spans="3:4" x14ac:dyDescent="0.45">
      <c r="C222" s="1">
        <f t="shared" ca="1" si="7"/>
        <v>43100</v>
      </c>
      <c r="D222" t="s">
        <v>134</v>
      </c>
    </row>
    <row r="223" spans="3:4" x14ac:dyDescent="0.45">
      <c r="C223" s="1">
        <f t="shared" ca="1" si="7"/>
        <v>43101</v>
      </c>
      <c r="D223" t="s">
        <v>127</v>
      </c>
    </row>
    <row r="224" spans="3:4" x14ac:dyDescent="0.45">
      <c r="C224" s="1">
        <f t="shared" ca="1" si="7"/>
        <v>43102</v>
      </c>
      <c r="D224" t="s">
        <v>84</v>
      </c>
    </row>
    <row r="225" spans="3:4" x14ac:dyDescent="0.45">
      <c r="C225" s="1">
        <f t="shared" ca="1" si="7"/>
        <v>43103</v>
      </c>
      <c r="D225" t="s">
        <v>85</v>
      </c>
    </row>
    <row r="226" spans="3:4" x14ac:dyDescent="0.45">
      <c r="C226" s="1">
        <f t="shared" ca="1" si="7"/>
        <v>43104</v>
      </c>
      <c r="D226" t="s">
        <v>163</v>
      </c>
    </row>
    <row r="227" spans="3:4" x14ac:dyDescent="0.45">
      <c r="C227" s="1">
        <f t="shared" ca="1" si="7"/>
        <v>43105</v>
      </c>
      <c r="D227" t="s">
        <v>87</v>
      </c>
    </row>
    <row r="228" spans="3:4" x14ac:dyDescent="0.45">
      <c r="C228" s="1">
        <f t="shared" ca="1" si="7"/>
        <v>43106</v>
      </c>
      <c r="D228" t="s">
        <v>88</v>
      </c>
    </row>
    <row r="229" spans="3:4" x14ac:dyDescent="0.45">
      <c r="C229" s="1">
        <f t="shared" ca="1" si="7"/>
        <v>43107</v>
      </c>
      <c r="D229" t="s">
        <v>66</v>
      </c>
    </row>
    <row r="230" spans="3:4" x14ac:dyDescent="0.45">
      <c r="C230" s="1">
        <f t="shared" ca="1" si="7"/>
        <v>43108</v>
      </c>
      <c r="D230" t="s">
        <v>164</v>
      </c>
    </row>
    <row r="231" spans="3:4" x14ac:dyDescent="0.45">
      <c r="C231" s="1">
        <f t="shared" ca="1" si="7"/>
        <v>43109</v>
      </c>
      <c r="D231" t="s">
        <v>165</v>
      </c>
    </row>
    <row r="232" spans="3:4" x14ac:dyDescent="0.45">
      <c r="C232" s="1">
        <f t="shared" ca="1" si="7"/>
        <v>43110</v>
      </c>
      <c r="D232" t="s">
        <v>166</v>
      </c>
    </row>
    <row r="233" spans="3:4" x14ac:dyDescent="0.45">
      <c r="C233" s="1">
        <f t="shared" ca="1" si="7"/>
        <v>43111</v>
      </c>
      <c r="D233" t="s">
        <v>167</v>
      </c>
    </row>
    <row r="234" spans="3:4" x14ac:dyDescent="0.45">
      <c r="C234" s="1">
        <f t="shared" ca="1" si="7"/>
        <v>43112</v>
      </c>
      <c r="D234" t="s">
        <v>69</v>
      </c>
    </row>
    <row r="235" spans="3:4" x14ac:dyDescent="0.45">
      <c r="C235" s="1">
        <f t="shared" ca="1" si="7"/>
        <v>43113</v>
      </c>
      <c r="D235" t="s">
        <v>168</v>
      </c>
    </row>
    <row r="236" spans="3:4" x14ac:dyDescent="0.45">
      <c r="C236" s="1">
        <f t="shared" ca="1" si="7"/>
        <v>43114</v>
      </c>
      <c r="D236" t="s">
        <v>132</v>
      </c>
    </row>
    <row r="237" spans="3:4" x14ac:dyDescent="0.45">
      <c r="C237" s="1">
        <f t="shared" ca="1" si="7"/>
        <v>43115</v>
      </c>
      <c r="D237" t="s">
        <v>169</v>
      </c>
    </row>
    <row r="238" spans="3:4" x14ac:dyDescent="0.45">
      <c r="C238" s="1">
        <f t="shared" ca="1" si="7"/>
        <v>43116</v>
      </c>
      <c r="D238" t="s">
        <v>170</v>
      </c>
    </row>
    <row r="239" spans="3:4" x14ac:dyDescent="0.45">
      <c r="C239" s="1">
        <f t="shared" ca="1" si="7"/>
        <v>43117</v>
      </c>
      <c r="D239" t="s">
        <v>134</v>
      </c>
    </row>
    <row r="240" spans="3:4" x14ac:dyDescent="0.45">
      <c r="C240" s="1">
        <f t="shared" ca="1" si="7"/>
        <v>43118</v>
      </c>
      <c r="D240" t="s">
        <v>171</v>
      </c>
    </row>
    <row r="241" spans="3:4" x14ac:dyDescent="0.45">
      <c r="C241" s="1">
        <f t="shared" ca="1" si="7"/>
        <v>43119</v>
      </c>
      <c r="D241" t="s">
        <v>84</v>
      </c>
    </row>
    <row r="242" spans="3:4" x14ac:dyDescent="0.45">
      <c r="C242" s="1">
        <f t="shared" ca="1" si="7"/>
        <v>43120</v>
      </c>
      <c r="D242" t="s">
        <v>85</v>
      </c>
    </row>
    <row r="243" spans="3:4" x14ac:dyDescent="0.45">
      <c r="C243" s="1">
        <f t="shared" ca="1" si="7"/>
        <v>43121</v>
      </c>
      <c r="D243" t="s">
        <v>172</v>
      </c>
    </row>
    <row r="244" spans="3:4" x14ac:dyDescent="0.45">
      <c r="C244" s="1">
        <f t="shared" ca="1" si="7"/>
        <v>43122</v>
      </c>
      <c r="D244" t="s">
        <v>87</v>
      </c>
    </row>
    <row r="245" spans="3:4" x14ac:dyDescent="0.45">
      <c r="C245" s="1">
        <f t="shared" ca="1" si="7"/>
        <v>43123</v>
      </c>
      <c r="D245" t="s">
        <v>88</v>
      </c>
    </row>
    <row r="246" spans="3:4" x14ac:dyDescent="0.45">
      <c r="C246" s="1">
        <f t="shared" ca="1" si="7"/>
        <v>43124</v>
      </c>
      <c r="D246" t="s">
        <v>66</v>
      </c>
    </row>
    <row r="247" spans="3:4" x14ac:dyDescent="0.45">
      <c r="C247" s="1">
        <f ca="1">C246+1</f>
        <v>43125</v>
      </c>
      <c r="D247" t="s">
        <v>173</v>
      </c>
    </row>
    <row r="248" spans="3:4" x14ac:dyDescent="0.45">
      <c r="C248" s="1">
        <f t="shared" ref="C248:C311" ca="1" si="8">C247+1</f>
        <v>43126</v>
      </c>
      <c r="D248" t="s">
        <v>174</v>
      </c>
    </row>
    <row r="249" spans="3:4" x14ac:dyDescent="0.45">
      <c r="C249" s="1">
        <f t="shared" ca="1" si="8"/>
        <v>43127</v>
      </c>
      <c r="D249" t="s">
        <v>175</v>
      </c>
    </row>
    <row r="250" spans="3:4" x14ac:dyDescent="0.45">
      <c r="C250" s="1">
        <f t="shared" ca="1" si="8"/>
        <v>43128</v>
      </c>
      <c r="D250" t="s">
        <v>69</v>
      </c>
    </row>
    <row r="251" spans="3:4" x14ac:dyDescent="0.45">
      <c r="C251" s="1">
        <f t="shared" ca="1" si="8"/>
        <v>43129</v>
      </c>
      <c r="D251" t="s">
        <v>176</v>
      </c>
    </row>
    <row r="252" spans="3:4" x14ac:dyDescent="0.45">
      <c r="C252" s="1">
        <f t="shared" ca="1" si="8"/>
        <v>43130</v>
      </c>
      <c r="D252" t="s">
        <v>132</v>
      </c>
    </row>
    <row r="253" spans="3:4" x14ac:dyDescent="0.45">
      <c r="C253" s="1">
        <f t="shared" ca="1" si="8"/>
        <v>43131</v>
      </c>
      <c r="D253" t="s">
        <v>177</v>
      </c>
    </row>
    <row r="254" spans="3:4" x14ac:dyDescent="0.45">
      <c r="C254" s="1">
        <f t="shared" ca="1" si="8"/>
        <v>43132</v>
      </c>
      <c r="D254" t="s">
        <v>178</v>
      </c>
    </row>
    <row r="255" spans="3:4" x14ac:dyDescent="0.45">
      <c r="C255" s="1">
        <f t="shared" ca="1" si="8"/>
        <v>43133</v>
      </c>
      <c r="D255" t="s">
        <v>134</v>
      </c>
    </row>
    <row r="256" spans="3:4" x14ac:dyDescent="0.45">
      <c r="C256" s="1">
        <f t="shared" ca="1" si="8"/>
        <v>43134</v>
      </c>
      <c r="D256" t="s">
        <v>179</v>
      </c>
    </row>
    <row r="257" spans="3:4" x14ac:dyDescent="0.45">
      <c r="C257" s="1">
        <f t="shared" ca="1" si="8"/>
        <v>43135</v>
      </c>
      <c r="D257" t="s">
        <v>84</v>
      </c>
    </row>
    <row r="258" spans="3:4" x14ac:dyDescent="0.45">
      <c r="C258" s="1">
        <f t="shared" ca="1" si="8"/>
        <v>43136</v>
      </c>
      <c r="D258" t="s">
        <v>85</v>
      </c>
    </row>
    <row r="259" spans="3:4" x14ac:dyDescent="0.45">
      <c r="C259" s="1">
        <f t="shared" ca="1" si="8"/>
        <v>43137</v>
      </c>
      <c r="D259" t="s">
        <v>180</v>
      </c>
    </row>
    <row r="260" spans="3:4" x14ac:dyDescent="0.45">
      <c r="C260" s="1">
        <f t="shared" ca="1" si="8"/>
        <v>43138</v>
      </c>
      <c r="D260" t="s">
        <v>87</v>
      </c>
    </row>
    <row r="261" spans="3:4" x14ac:dyDescent="0.45">
      <c r="C261" s="1">
        <f t="shared" ca="1" si="8"/>
        <v>43139</v>
      </c>
      <c r="D261" t="s">
        <v>88</v>
      </c>
    </row>
    <row r="262" spans="3:4" x14ac:dyDescent="0.45">
      <c r="C262" s="1">
        <f t="shared" ca="1" si="8"/>
        <v>43140</v>
      </c>
      <c r="D262" t="s">
        <v>66</v>
      </c>
    </row>
    <row r="263" spans="3:4" x14ac:dyDescent="0.45">
      <c r="C263" s="1">
        <f t="shared" ca="1" si="8"/>
        <v>43141</v>
      </c>
      <c r="D263" t="s">
        <v>181</v>
      </c>
    </row>
    <row r="264" spans="3:4" x14ac:dyDescent="0.45">
      <c r="C264" s="1">
        <f t="shared" ca="1" si="8"/>
        <v>43142</v>
      </c>
      <c r="D264" t="s">
        <v>182</v>
      </c>
    </row>
    <row r="265" spans="3:4" x14ac:dyDescent="0.45">
      <c r="C265" s="1">
        <f t="shared" ca="1" si="8"/>
        <v>43143</v>
      </c>
      <c r="D265" t="s">
        <v>183</v>
      </c>
    </row>
    <row r="266" spans="3:4" x14ac:dyDescent="0.45">
      <c r="C266" s="1">
        <f t="shared" ca="1" si="8"/>
        <v>43144</v>
      </c>
      <c r="D266" t="s">
        <v>69</v>
      </c>
    </row>
    <row r="267" spans="3:4" x14ac:dyDescent="0.45">
      <c r="C267" s="1">
        <f t="shared" ca="1" si="8"/>
        <v>43145</v>
      </c>
      <c r="D267" t="s">
        <v>184</v>
      </c>
    </row>
    <row r="268" spans="3:4" x14ac:dyDescent="0.45">
      <c r="C268" s="1">
        <f t="shared" ca="1" si="8"/>
        <v>43146</v>
      </c>
      <c r="D268" t="s">
        <v>132</v>
      </c>
    </row>
    <row r="269" spans="3:4" x14ac:dyDescent="0.45">
      <c r="C269" s="1">
        <f t="shared" ca="1" si="8"/>
        <v>43147</v>
      </c>
      <c r="D269" t="s">
        <v>185</v>
      </c>
    </row>
    <row r="270" spans="3:4" x14ac:dyDescent="0.45">
      <c r="C270" s="1">
        <f t="shared" ca="1" si="8"/>
        <v>43148</v>
      </c>
      <c r="D270" t="s">
        <v>186</v>
      </c>
    </row>
    <row r="271" spans="3:4" x14ac:dyDescent="0.45">
      <c r="C271" s="1">
        <f t="shared" ca="1" si="8"/>
        <v>43149</v>
      </c>
      <c r="D271" t="s">
        <v>134</v>
      </c>
    </row>
    <row r="272" spans="3:4" x14ac:dyDescent="0.45">
      <c r="C272" s="1">
        <f t="shared" ca="1" si="8"/>
        <v>43150</v>
      </c>
      <c r="D272" t="s">
        <v>187</v>
      </c>
    </row>
    <row r="273" spans="3:4" x14ac:dyDescent="0.45">
      <c r="C273" s="1">
        <f t="shared" ca="1" si="8"/>
        <v>43151</v>
      </c>
      <c r="D273" t="s">
        <v>84</v>
      </c>
    </row>
    <row r="274" spans="3:4" x14ac:dyDescent="0.45">
      <c r="C274" s="1">
        <f t="shared" ca="1" si="8"/>
        <v>43152</v>
      </c>
      <c r="D274" t="s">
        <v>85</v>
      </c>
    </row>
    <row r="275" spans="3:4" x14ac:dyDescent="0.45">
      <c r="C275" s="1">
        <f t="shared" ca="1" si="8"/>
        <v>43153</v>
      </c>
      <c r="D275" t="s">
        <v>188</v>
      </c>
    </row>
    <row r="276" spans="3:4" x14ac:dyDescent="0.45">
      <c r="C276" s="1">
        <f t="shared" ca="1" si="8"/>
        <v>43154</v>
      </c>
      <c r="D276" t="s">
        <v>87</v>
      </c>
    </row>
    <row r="277" spans="3:4" x14ac:dyDescent="0.45">
      <c r="C277" s="1">
        <f t="shared" ca="1" si="8"/>
        <v>43155</v>
      </c>
      <c r="D277" t="s">
        <v>88</v>
      </c>
    </row>
    <row r="278" spans="3:4" x14ac:dyDescent="0.45">
      <c r="C278" s="1">
        <f t="shared" ca="1" si="8"/>
        <v>43156</v>
      </c>
      <c r="D278" t="s">
        <v>66</v>
      </c>
    </row>
    <row r="279" spans="3:4" x14ac:dyDescent="0.45">
      <c r="C279" s="1">
        <f t="shared" ca="1" si="8"/>
        <v>43157</v>
      </c>
      <c r="D279" t="s">
        <v>189</v>
      </c>
    </row>
    <row r="280" spans="3:4" x14ac:dyDescent="0.45">
      <c r="C280" s="1">
        <f t="shared" ca="1" si="8"/>
        <v>43158</v>
      </c>
      <c r="D280" t="s">
        <v>190</v>
      </c>
    </row>
    <row r="281" spans="3:4" x14ac:dyDescent="0.45">
      <c r="C281" s="1">
        <f t="shared" ca="1" si="8"/>
        <v>43159</v>
      </c>
      <c r="D281" t="s">
        <v>191</v>
      </c>
    </row>
    <row r="282" spans="3:4" x14ac:dyDescent="0.45">
      <c r="C282" s="1">
        <f t="shared" ca="1" si="8"/>
        <v>43160</v>
      </c>
      <c r="D282" t="s">
        <v>69</v>
      </c>
    </row>
    <row r="283" spans="3:4" x14ac:dyDescent="0.45">
      <c r="C283" s="1">
        <f t="shared" ca="1" si="8"/>
        <v>43161</v>
      </c>
      <c r="D283" t="s">
        <v>192</v>
      </c>
    </row>
    <row r="284" spans="3:4" x14ac:dyDescent="0.45">
      <c r="C284" s="1">
        <f t="shared" ca="1" si="8"/>
        <v>43162</v>
      </c>
      <c r="D284" t="s">
        <v>132</v>
      </c>
    </row>
    <row r="285" spans="3:4" x14ac:dyDescent="0.45">
      <c r="C285" s="1">
        <f t="shared" ca="1" si="8"/>
        <v>43163</v>
      </c>
      <c r="D285" t="s">
        <v>193</v>
      </c>
    </row>
    <row r="286" spans="3:4" x14ac:dyDescent="0.45">
      <c r="C286" s="1">
        <f t="shared" ca="1" si="8"/>
        <v>43164</v>
      </c>
      <c r="D286" t="s">
        <v>134</v>
      </c>
    </row>
    <row r="287" spans="3:4" x14ac:dyDescent="0.45">
      <c r="C287" s="1">
        <f t="shared" ca="1" si="8"/>
        <v>43165</v>
      </c>
      <c r="D287" t="s">
        <v>194</v>
      </c>
    </row>
    <row r="288" spans="3:4" x14ac:dyDescent="0.45">
      <c r="C288" s="1">
        <f t="shared" ca="1" si="8"/>
        <v>43166</v>
      </c>
      <c r="D288" t="s">
        <v>84</v>
      </c>
    </row>
    <row r="289" spans="3:4" x14ac:dyDescent="0.45">
      <c r="C289" s="1">
        <f t="shared" ca="1" si="8"/>
        <v>43167</v>
      </c>
      <c r="D289" t="s">
        <v>85</v>
      </c>
    </row>
    <row r="290" spans="3:4" x14ac:dyDescent="0.45">
      <c r="C290" s="1">
        <f t="shared" ca="1" si="8"/>
        <v>43168</v>
      </c>
      <c r="D290" t="s">
        <v>195</v>
      </c>
    </row>
    <row r="291" spans="3:4" x14ac:dyDescent="0.45">
      <c r="C291" s="1">
        <f t="shared" ca="1" si="8"/>
        <v>43169</v>
      </c>
      <c r="D291" t="s">
        <v>87</v>
      </c>
    </row>
    <row r="292" spans="3:4" x14ac:dyDescent="0.45">
      <c r="C292" s="1">
        <f t="shared" ca="1" si="8"/>
        <v>43170</v>
      </c>
      <c r="D292" t="s">
        <v>88</v>
      </c>
    </row>
    <row r="293" spans="3:4" x14ac:dyDescent="0.45">
      <c r="C293" s="1">
        <f t="shared" ca="1" si="8"/>
        <v>43171</v>
      </c>
      <c r="D293" t="s">
        <v>66</v>
      </c>
    </row>
    <row r="294" spans="3:4" x14ac:dyDescent="0.45">
      <c r="C294" s="1">
        <f t="shared" ca="1" si="8"/>
        <v>43172</v>
      </c>
      <c r="D294" t="s">
        <v>196</v>
      </c>
    </row>
    <row r="295" spans="3:4" x14ac:dyDescent="0.45">
      <c r="C295" s="1">
        <f t="shared" ca="1" si="8"/>
        <v>43173</v>
      </c>
      <c r="D295" t="s">
        <v>197</v>
      </c>
    </row>
    <row r="296" spans="3:4" x14ac:dyDescent="0.45">
      <c r="C296" s="1">
        <f t="shared" ca="1" si="8"/>
        <v>43174</v>
      </c>
      <c r="D296" t="s">
        <v>69</v>
      </c>
    </row>
    <row r="297" spans="3:4" x14ac:dyDescent="0.45">
      <c r="C297" s="1">
        <f t="shared" ca="1" si="8"/>
        <v>43175</v>
      </c>
      <c r="D297" t="s">
        <v>198</v>
      </c>
    </row>
    <row r="298" spans="3:4" x14ac:dyDescent="0.45">
      <c r="C298" s="1">
        <f t="shared" ca="1" si="8"/>
        <v>43176</v>
      </c>
      <c r="D298" t="s">
        <v>132</v>
      </c>
    </row>
    <row r="299" spans="3:4" x14ac:dyDescent="0.45">
      <c r="C299" s="1">
        <f t="shared" ca="1" si="8"/>
        <v>43177</v>
      </c>
      <c r="D299" t="s">
        <v>199</v>
      </c>
    </row>
    <row r="300" spans="3:4" x14ac:dyDescent="0.45">
      <c r="C300" s="1">
        <f t="shared" ca="1" si="8"/>
        <v>43178</v>
      </c>
      <c r="D300" t="s">
        <v>200</v>
      </c>
    </row>
    <row r="301" spans="3:4" x14ac:dyDescent="0.45">
      <c r="C301" s="1">
        <f t="shared" ca="1" si="8"/>
        <v>43179</v>
      </c>
      <c r="D301" t="s">
        <v>134</v>
      </c>
    </row>
    <row r="302" spans="3:4" x14ac:dyDescent="0.45">
      <c r="C302" s="1">
        <f t="shared" ca="1" si="8"/>
        <v>43180</v>
      </c>
      <c r="D302" t="s">
        <v>201</v>
      </c>
    </row>
    <row r="303" spans="3:4" x14ac:dyDescent="0.45">
      <c r="C303" s="1">
        <f t="shared" ca="1" si="8"/>
        <v>43181</v>
      </c>
      <c r="D303" t="s">
        <v>84</v>
      </c>
    </row>
    <row r="304" spans="3:4" x14ac:dyDescent="0.45">
      <c r="C304" s="1">
        <f t="shared" ca="1" si="8"/>
        <v>43182</v>
      </c>
      <c r="D304" t="s">
        <v>85</v>
      </c>
    </row>
    <row r="305" spans="3:4" x14ac:dyDescent="0.45">
      <c r="C305" s="1">
        <f t="shared" ca="1" si="8"/>
        <v>43183</v>
      </c>
      <c r="D305" t="s">
        <v>202</v>
      </c>
    </row>
    <row r="306" spans="3:4" x14ac:dyDescent="0.45">
      <c r="C306" s="1">
        <f t="shared" ca="1" si="8"/>
        <v>43184</v>
      </c>
      <c r="D306" t="s">
        <v>87</v>
      </c>
    </row>
    <row r="307" spans="3:4" x14ac:dyDescent="0.45">
      <c r="C307" s="1">
        <f t="shared" ca="1" si="8"/>
        <v>43185</v>
      </c>
      <c r="D307" t="s">
        <v>88</v>
      </c>
    </row>
    <row r="308" spans="3:4" x14ac:dyDescent="0.45">
      <c r="C308" s="1">
        <f t="shared" ca="1" si="8"/>
        <v>43186</v>
      </c>
      <c r="D308" t="s">
        <v>66</v>
      </c>
    </row>
    <row r="309" spans="3:4" x14ac:dyDescent="0.45">
      <c r="C309" s="1">
        <f t="shared" ca="1" si="8"/>
        <v>43187</v>
      </c>
      <c r="D309" t="s">
        <v>203</v>
      </c>
    </row>
    <row r="310" spans="3:4" x14ac:dyDescent="0.45">
      <c r="C310" s="1">
        <f t="shared" ca="1" si="8"/>
        <v>43188</v>
      </c>
      <c r="D310" t="s">
        <v>204</v>
      </c>
    </row>
    <row r="311" spans="3:4" x14ac:dyDescent="0.45">
      <c r="C311" s="1">
        <f t="shared" ca="1" si="8"/>
        <v>43189</v>
      </c>
      <c r="D311" t="s">
        <v>205</v>
      </c>
    </row>
    <row r="312" spans="3:4" x14ac:dyDescent="0.45">
      <c r="C312" s="1">
        <f t="shared" ref="C312:C364" ca="1" si="9">C311+1</f>
        <v>43190</v>
      </c>
      <c r="D312" t="s">
        <v>69</v>
      </c>
    </row>
    <row r="313" spans="3:4" x14ac:dyDescent="0.45">
      <c r="C313" s="1">
        <f t="shared" ca="1" si="9"/>
        <v>43191</v>
      </c>
      <c r="D313" t="s">
        <v>206</v>
      </c>
    </row>
    <row r="314" spans="3:4" x14ac:dyDescent="0.45">
      <c r="C314" s="1">
        <f t="shared" ca="1" si="9"/>
        <v>43192</v>
      </c>
      <c r="D314" t="s">
        <v>132</v>
      </c>
    </row>
    <row r="315" spans="3:4" x14ac:dyDescent="0.45">
      <c r="C315" s="1">
        <f t="shared" ca="1" si="9"/>
        <v>43193</v>
      </c>
      <c r="D315" t="s">
        <v>207</v>
      </c>
    </row>
    <row r="316" spans="3:4" x14ac:dyDescent="0.45">
      <c r="C316" s="1">
        <f t="shared" ca="1" si="9"/>
        <v>43194</v>
      </c>
      <c r="D316" t="s">
        <v>208</v>
      </c>
    </row>
    <row r="317" spans="3:4" x14ac:dyDescent="0.45">
      <c r="C317" s="1">
        <f t="shared" ca="1" si="9"/>
        <v>43195</v>
      </c>
      <c r="D317" t="s">
        <v>134</v>
      </c>
    </row>
    <row r="318" spans="3:4" x14ac:dyDescent="0.45">
      <c r="C318" s="1">
        <f t="shared" ca="1" si="9"/>
        <v>43196</v>
      </c>
      <c r="D318" t="s">
        <v>179</v>
      </c>
    </row>
    <row r="319" spans="3:4" x14ac:dyDescent="0.45">
      <c r="C319" s="1">
        <f t="shared" ca="1" si="9"/>
        <v>43197</v>
      </c>
      <c r="D319" t="s">
        <v>84</v>
      </c>
    </row>
    <row r="320" spans="3:4" x14ac:dyDescent="0.45">
      <c r="C320" s="1">
        <f t="shared" ca="1" si="9"/>
        <v>43198</v>
      </c>
      <c r="D320" t="s">
        <v>85</v>
      </c>
    </row>
    <row r="321" spans="3:4" x14ac:dyDescent="0.45">
      <c r="C321" s="1">
        <f t="shared" ca="1" si="9"/>
        <v>43199</v>
      </c>
      <c r="D321" t="s">
        <v>209</v>
      </c>
    </row>
    <row r="322" spans="3:4" x14ac:dyDescent="0.45">
      <c r="C322" s="1">
        <f t="shared" ca="1" si="9"/>
        <v>43200</v>
      </c>
      <c r="D322" t="s">
        <v>87</v>
      </c>
    </row>
    <row r="323" spans="3:4" x14ac:dyDescent="0.45">
      <c r="C323" s="1">
        <f t="shared" ca="1" si="9"/>
        <v>43201</v>
      </c>
      <c r="D323" t="s">
        <v>88</v>
      </c>
    </row>
    <row r="324" spans="3:4" x14ac:dyDescent="0.45">
      <c r="C324" s="1">
        <f t="shared" ca="1" si="9"/>
        <v>43202</v>
      </c>
      <c r="D324" t="s">
        <v>66</v>
      </c>
    </row>
    <row r="325" spans="3:4" x14ac:dyDescent="0.45">
      <c r="C325" s="1">
        <f t="shared" ca="1" si="9"/>
        <v>43203</v>
      </c>
      <c r="D325" t="s">
        <v>210</v>
      </c>
    </row>
    <row r="326" spans="3:4" x14ac:dyDescent="0.45">
      <c r="C326" s="1">
        <f t="shared" ca="1" si="9"/>
        <v>43204</v>
      </c>
      <c r="D326" t="s">
        <v>211</v>
      </c>
    </row>
    <row r="327" spans="3:4" x14ac:dyDescent="0.45">
      <c r="C327" s="1">
        <f t="shared" ca="1" si="9"/>
        <v>43205</v>
      </c>
      <c r="D327" t="s">
        <v>69</v>
      </c>
    </row>
    <row r="328" spans="3:4" x14ac:dyDescent="0.45">
      <c r="C328" s="1">
        <f t="shared" ca="1" si="9"/>
        <v>43206</v>
      </c>
      <c r="D328" t="s">
        <v>212</v>
      </c>
    </row>
    <row r="329" spans="3:4" x14ac:dyDescent="0.45">
      <c r="C329" s="1">
        <f t="shared" ca="1" si="9"/>
        <v>43207</v>
      </c>
      <c r="D329" t="s">
        <v>132</v>
      </c>
    </row>
    <row r="330" spans="3:4" x14ac:dyDescent="0.45">
      <c r="C330" s="1">
        <f t="shared" ca="1" si="9"/>
        <v>43208</v>
      </c>
      <c r="D330" t="s">
        <v>213</v>
      </c>
    </row>
    <row r="331" spans="3:4" x14ac:dyDescent="0.45">
      <c r="C331" s="1">
        <f t="shared" ca="1" si="9"/>
        <v>43209</v>
      </c>
      <c r="D331" t="s">
        <v>214</v>
      </c>
    </row>
    <row r="332" spans="3:4" x14ac:dyDescent="0.45">
      <c r="C332" s="1">
        <f t="shared" ca="1" si="9"/>
        <v>43210</v>
      </c>
      <c r="D332" t="s">
        <v>134</v>
      </c>
    </row>
    <row r="333" spans="3:4" x14ac:dyDescent="0.45">
      <c r="C333" s="1">
        <f t="shared" ca="1" si="9"/>
        <v>43211</v>
      </c>
      <c r="D333" t="s">
        <v>215</v>
      </c>
    </row>
    <row r="334" spans="3:4" x14ac:dyDescent="0.45">
      <c r="C334" s="1">
        <f t="shared" ca="1" si="9"/>
        <v>43212</v>
      </c>
      <c r="D334" t="s">
        <v>84</v>
      </c>
    </row>
    <row r="335" spans="3:4" x14ac:dyDescent="0.45">
      <c r="C335" s="1">
        <f t="shared" ca="1" si="9"/>
        <v>43213</v>
      </c>
      <c r="D335" t="s">
        <v>85</v>
      </c>
    </row>
    <row r="336" spans="3:4" x14ac:dyDescent="0.45">
      <c r="C336" s="1">
        <f t="shared" ca="1" si="9"/>
        <v>43214</v>
      </c>
      <c r="D336" t="s">
        <v>216</v>
      </c>
    </row>
    <row r="337" spans="3:4" x14ac:dyDescent="0.45">
      <c r="C337" s="1">
        <f t="shared" ca="1" si="9"/>
        <v>43215</v>
      </c>
      <c r="D337" t="s">
        <v>87</v>
      </c>
    </row>
    <row r="338" spans="3:4" x14ac:dyDescent="0.45">
      <c r="C338" s="1">
        <f t="shared" ca="1" si="9"/>
        <v>43216</v>
      </c>
      <c r="D338" t="s">
        <v>88</v>
      </c>
    </row>
    <row r="339" spans="3:4" x14ac:dyDescent="0.45">
      <c r="C339" s="1">
        <f t="shared" ca="1" si="9"/>
        <v>43217</v>
      </c>
      <c r="D339" t="s">
        <v>66</v>
      </c>
    </row>
    <row r="340" spans="3:4" x14ac:dyDescent="0.45">
      <c r="C340" s="1">
        <f t="shared" ca="1" si="9"/>
        <v>43218</v>
      </c>
      <c r="D340" t="s">
        <v>217</v>
      </c>
    </row>
    <row r="341" spans="3:4" x14ac:dyDescent="0.45">
      <c r="C341" s="1">
        <f t="shared" ca="1" si="9"/>
        <v>43219</v>
      </c>
      <c r="D341" t="s">
        <v>218</v>
      </c>
    </row>
    <row r="342" spans="3:4" x14ac:dyDescent="0.45">
      <c r="C342" s="1">
        <f t="shared" ca="1" si="9"/>
        <v>43220</v>
      </c>
      <c r="D342" t="s">
        <v>69</v>
      </c>
    </row>
    <row r="343" spans="3:4" x14ac:dyDescent="0.45">
      <c r="C343" s="1">
        <f t="shared" ca="1" si="9"/>
        <v>43221</v>
      </c>
      <c r="D343" t="s">
        <v>219</v>
      </c>
    </row>
    <row r="344" spans="3:4" x14ac:dyDescent="0.45">
      <c r="C344" s="1">
        <f t="shared" ca="1" si="9"/>
        <v>43222</v>
      </c>
      <c r="D344" t="s">
        <v>132</v>
      </c>
    </row>
    <row r="345" spans="3:4" x14ac:dyDescent="0.45">
      <c r="C345" s="1">
        <f t="shared" ca="1" si="9"/>
        <v>43223</v>
      </c>
      <c r="D345" t="s">
        <v>220</v>
      </c>
    </row>
    <row r="346" spans="3:4" x14ac:dyDescent="0.45">
      <c r="C346" s="1">
        <f t="shared" ca="1" si="9"/>
        <v>43224</v>
      </c>
      <c r="D346" t="s">
        <v>134</v>
      </c>
    </row>
    <row r="347" spans="3:4" x14ac:dyDescent="0.45">
      <c r="C347" s="1">
        <f t="shared" ca="1" si="9"/>
        <v>43225</v>
      </c>
      <c r="D347" t="s">
        <v>221</v>
      </c>
    </row>
    <row r="348" spans="3:4" x14ac:dyDescent="0.45">
      <c r="C348" s="1">
        <f t="shared" ca="1" si="9"/>
        <v>43226</v>
      </c>
      <c r="D348" t="s">
        <v>84</v>
      </c>
    </row>
    <row r="349" spans="3:4" x14ac:dyDescent="0.45">
      <c r="C349" s="1">
        <f t="shared" ca="1" si="9"/>
        <v>43227</v>
      </c>
      <c r="D349" t="s">
        <v>85</v>
      </c>
    </row>
    <row r="350" spans="3:4" x14ac:dyDescent="0.45">
      <c r="C350" s="1">
        <f t="shared" ca="1" si="9"/>
        <v>43228</v>
      </c>
      <c r="D350" t="s">
        <v>222</v>
      </c>
    </row>
    <row r="351" spans="3:4" x14ac:dyDescent="0.45">
      <c r="C351" s="1">
        <f t="shared" ca="1" si="9"/>
        <v>43229</v>
      </c>
      <c r="D351" t="s">
        <v>87</v>
      </c>
    </row>
    <row r="352" spans="3:4" x14ac:dyDescent="0.45">
      <c r="C352" s="1">
        <f t="shared" ca="1" si="9"/>
        <v>43230</v>
      </c>
      <c r="D352" t="s">
        <v>88</v>
      </c>
    </row>
    <row r="353" spans="3:4" x14ac:dyDescent="0.45">
      <c r="C353" s="1">
        <f t="shared" ca="1" si="9"/>
        <v>43231</v>
      </c>
      <c r="D353" t="s">
        <v>66</v>
      </c>
    </row>
    <row r="354" spans="3:4" x14ac:dyDescent="0.45">
      <c r="C354" s="1">
        <f t="shared" ca="1" si="9"/>
        <v>43232</v>
      </c>
      <c r="D354" t="s">
        <v>223</v>
      </c>
    </row>
    <row r="355" spans="3:4" x14ac:dyDescent="0.45">
      <c r="C355" s="1">
        <f t="shared" ca="1" si="9"/>
        <v>43233</v>
      </c>
      <c r="D355" t="s">
        <v>224</v>
      </c>
    </row>
    <row r="356" spans="3:4" x14ac:dyDescent="0.45">
      <c r="C356" s="1">
        <f t="shared" ca="1" si="9"/>
        <v>43234</v>
      </c>
      <c r="D356" t="s">
        <v>225</v>
      </c>
    </row>
    <row r="357" spans="3:4" x14ac:dyDescent="0.45">
      <c r="C357" s="1">
        <f t="shared" ca="1" si="9"/>
        <v>43235</v>
      </c>
      <c r="D357" t="s">
        <v>226</v>
      </c>
    </row>
    <row r="358" spans="3:4" x14ac:dyDescent="0.45">
      <c r="C358" s="1">
        <f t="shared" ca="1" si="9"/>
        <v>43236</v>
      </c>
      <c r="D358" t="s">
        <v>227</v>
      </c>
    </row>
    <row r="359" spans="3:4" x14ac:dyDescent="0.45">
      <c r="C359" s="1">
        <f t="shared" ca="1" si="9"/>
        <v>43237</v>
      </c>
      <c r="D359" t="s">
        <v>228</v>
      </c>
    </row>
    <row r="360" spans="3:4" x14ac:dyDescent="0.45">
      <c r="C360" s="1">
        <f t="shared" ca="1" si="9"/>
        <v>43238</v>
      </c>
      <c r="D360" t="s">
        <v>69</v>
      </c>
    </row>
    <row r="361" spans="3:4" x14ac:dyDescent="0.45">
      <c r="C361" s="1">
        <f t="shared" ca="1" si="9"/>
        <v>43239</v>
      </c>
      <c r="D361" t="s">
        <v>229</v>
      </c>
    </row>
    <row r="362" spans="3:4" x14ac:dyDescent="0.45">
      <c r="C362" s="1">
        <f t="shared" ca="1" si="9"/>
        <v>43240</v>
      </c>
      <c r="D362" t="s">
        <v>132</v>
      </c>
    </row>
    <row r="363" spans="3:4" x14ac:dyDescent="0.45">
      <c r="C363" s="1">
        <f t="shared" ca="1" si="9"/>
        <v>43241</v>
      </c>
      <c r="D363" t="s">
        <v>230</v>
      </c>
    </row>
    <row r="364" spans="3:4" x14ac:dyDescent="0.45">
      <c r="C364" s="1">
        <f t="shared" ca="1" si="9"/>
        <v>43242</v>
      </c>
      <c r="D364" t="s">
        <v>231</v>
      </c>
    </row>
    <row r="365" spans="3:4" x14ac:dyDescent="0.45">
      <c r="C365" s="1">
        <f ca="1">C364+1</f>
        <v>43243</v>
      </c>
      <c r="D365" t="s">
        <v>232</v>
      </c>
    </row>
    <row r="366" spans="3:4" x14ac:dyDescent="0.45">
      <c r="C366" s="1">
        <f ca="1">C365+1</f>
        <v>43244</v>
      </c>
      <c r="D366" t="s">
        <v>134</v>
      </c>
    </row>
    <row r="367" spans="3:4" x14ac:dyDescent="0.45">
      <c r="C367" s="1"/>
      <c r="D367" t="s">
        <v>179</v>
      </c>
    </row>
    <row r="368" spans="3:4" x14ac:dyDescent="0.45">
      <c r="C368" s="1"/>
      <c r="D368" t="s">
        <v>84</v>
      </c>
    </row>
    <row r="369" spans="3:4" x14ac:dyDescent="0.45">
      <c r="C369" s="1"/>
      <c r="D369" t="s">
        <v>85</v>
      </c>
    </row>
    <row r="370" spans="3:4" x14ac:dyDescent="0.45">
      <c r="C370" s="1"/>
      <c r="D370" t="s">
        <v>233</v>
      </c>
    </row>
    <row r="371" spans="3:4" x14ac:dyDescent="0.45">
      <c r="C371" s="1"/>
      <c r="D371" t="s">
        <v>87</v>
      </c>
    </row>
    <row r="372" spans="3:4" x14ac:dyDescent="0.45">
      <c r="C372" s="1"/>
      <c r="D372" t="s">
        <v>88</v>
      </c>
    </row>
    <row r="373" spans="3:4" x14ac:dyDescent="0.45">
      <c r="C373" s="1"/>
      <c r="D373" t="s">
        <v>66</v>
      </c>
    </row>
    <row r="374" spans="3:4" x14ac:dyDescent="0.45">
      <c r="C374" s="1"/>
      <c r="D374" t="s">
        <v>234</v>
      </c>
    </row>
    <row r="375" spans="3:4" x14ac:dyDescent="0.45">
      <c r="C375" s="1"/>
      <c r="D375" t="s">
        <v>235</v>
      </c>
    </row>
    <row r="376" spans="3:4" x14ac:dyDescent="0.45">
      <c r="C376" s="1"/>
      <c r="D376" t="s">
        <v>69</v>
      </c>
    </row>
    <row r="377" spans="3:4" x14ac:dyDescent="0.45">
      <c r="C377" s="1"/>
      <c r="D377" t="s">
        <v>236</v>
      </c>
    </row>
    <row r="378" spans="3:4" x14ac:dyDescent="0.45">
      <c r="C378" s="1"/>
      <c r="D378" t="s">
        <v>132</v>
      </c>
    </row>
    <row r="379" spans="3:4" x14ac:dyDescent="0.45">
      <c r="C379" s="1"/>
      <c r="D379" t="s">
        <v>237</v>
      </c>
    </row>
    <row r="380" spans="3:4" x14ac:dyDescent="0.45">
      <c r="C380" s="1"/>
      <c r="D380" t="s">
        <v>238</v>
      </c>
    </row>
    <row r="381" spans="3:4" x14ac:dyDescent="0.45">
      <c r="C381" s="1"/>
      <c r="D381" t="s">
        <v>134</v>
      </c>
    </row>
    <row r="382" spans="3:4" x14ac:dyDescent="0.45">
      <c r="C382" s="1"/>
      <c r="D382" t="s">
        <v>239</v>
      </c>
    </row>
    <row r="383" spans="3:4" x14ac:dyDescent="0.45">
      <c r="C383" s="1"/>
      <c r="D383" t="s">
        <v>84</v>
      </c>
    </row>
    <row r="384" spans="3:4" x14ac:dyDescent="0.45">
      <c r="C384" s="1"/>
      <c r="D384" t="s">
        <v>85</v>
      </c>
    </row>
    <row r="385" spans="3:4" x14ac:dyDescent="0.45">
      <c r="C385" s="1"/>
      <c r="D385" t="s">
        <v>240</v>
      </c>
    </row>
    <row r="386" spans="3:4" x14ac:dyDescent="0.45">
      <c r="C386" s="1"/>
      <c r="D386" t="s">
        <v>87</v>
      </c>
    </row>
    <row r="387" spans="3:4" x14ac:dyDescent="0.45">
      <c r="C387" s="1"/>
      <c r="D387" t="s">
        <v>88</v>
      </c>
    </row>
    <row r="388" spans="3:4" x14ac:dyDescent="0.45">
      <c r="C388" s="1"/>
      <c r="D388" t="s">
        <v>66</v>
      </c>
    </row>
    <row r="389" spans="3:4" x14ac:dyDescent="0.45">
      <c r="C389" s="1"/>
      <c r="D389" t="s">
        <v>241</v>
      </c>
    </row>
    <row r="390" spans="3:4" x14ac:dyDescent="0.45">
      <c r="C390" s="1"/>
      <c r="D390" t="s">
        <v>242</v>
      </c>
    </row>
    <row r="391" spans="3:4" x14ac:dyDescent="0.45">
      <c r="C391" s="1"/>
      <c r="D391" t="s">
        <v>69</v>
      </c>
    </row>
    <row r="392" spans="3:4" x14ac:dyDescent="0.45">
      <c r="C392" s="1"/>
      <c r="D392" t="s">
        <v>243</v>
      </c>
    </row>
    <row r="393" spans="3:4" x14ac:dyDescent="0.45">
      <c r="C393" s="1"/>
      <c r="D393" t="s">
        <v>132</v>
      </c>
    </row>
    <row r="394" spans="3:4" x14ac:dyDescent="0.45">
      <c r="C394" s="1"/>
      <c r="D394" t="s">
        <v>244</v>
      </c>
    </row>
    <row r="395" spans="3:4" x14ac:dyDescent="0.45">
      <c r="C395" s="1"/>
      <c r="D395" t="s">
        <v>245</v>
      </c>
    </row>
    <row r="396" spans="3:4" x14ac:dyDescent="0.45">
      <c r="C396" s="1"/>
      <c r="D396" t="s">
        <v>134</v>
      </c>
    </row>
    <row r="397" spans="3:4" x14ac:dyDescent="0.45">
      <c r="C397" s="1"/>
      <c r="D397" t="s">
        <v>201</v>
      </c>
    </row>
    <row r="398" spans="3:4" x14ac:dyDescent="0.45">
      <c r="C398" s="1"/>
      <c r="D398" t="s">
        <v>84</v>
      </c>
    </row>
    <row r="399" spans="3:4" x14ac:dyDescent="0.45">
      <c r="C399" s="1"/>
      <c r="D399" t="s">
        <v>85</v>
      </c>
    </row>
    <row r="400" spans="3:4" x14ac:dyDescent="0.45">
      <c r="C400" s="1"/>
      <c r="D400" t="s">
        <v>246</v>
      </c>
    </row>
    <row r="401" spans="3:4" x14ac:dyDescent="0.45">
      <c r="C401" s="1"/>
      <c r="D401" t="s">
        <v>87</v>
      </c>
    </row>
    <row r="402" spans="3:4" x14ac:dyDescent="0.45">
      <c r="C402" s="1"/>
      <c r="D402" t="s">
        <v>88</v>
      </c>
    </row>
    <row r="403" spans="3:4" x14ac:dyDescent="0.45">
      <c r="C403" s="1"/>
      <c r="D403" t="s">
        <v>66</v>
      </c>
    </row>
    <row r="404" spans="3:4" x14ac:dyDescent="0.45">
      <c r="C404" s="1"/>
      <c r="D404" t="s">
        <v>247</v>
      </c>
    </row>
    <row r="405" spans="3:4" x14ac:dyDescent="0.45">
      <c r="C405" s="1"/>
      <c r="D405" t="s">
        <v>248</v>
      </c>
    </row>
    <row r="406" spans="3:4" x14ac:dyDescent="0.45">
      <c r="C406" s="1"/>
      <c r="D406" t="s">
        <v>69</v>
      </c>
    </row>
    <row r="407" spans="3:4" x14ac:dyDescent="0.45">
      <c r="C407" s="1"/>
      <c r="D407" t="s">
        <v>249</v>
      </c>
    </row>
    <row r="408" spans="3:4" x14ac:dyDescent="0.45">
      <c r="C408" s="1"/>
      <c r="D408" t="s">
        <v>132</v>
      </c>
    </row>
    <row r="409" spans="3:4" x14ac:dyDescent="0.45">
      <c r="C409" s="1"/>
      <c r="D409" t="s">
        <v>250</v>
      </c>
    </row>
    <row r="410" spans="3:4" x14ac:dyDescent="0.45">
      <c r="C410" s="1"/>
      <c r="D410" t="s">
        <v>134</v>
      </c>
    </row>
    <row r="411" spans="3:4" x14ac:dyDescent="0.45">
      <c r="C411" s="1"/>
      <c r="D411" t="s">
        <v>251</v>
      </c>
    </row>
    <row r="412" spans="3:4" x14ac:dyDescent="0.45">
      <c r="C412" s="1"/>
      <c r="D412" t="s">
        <v>84</v>
      </c>
    </row>
    <row r="413" spans="3:4" x14ac:dyDescent="0.45">
      <c r="C413" s="1"/>
      <c r="D413" t="s">
        <v>85</v>
      </c>
    </row>
    <row r="414" spans="3:4" x14ac:dyDescent="0.45">
      <c r="C414" s="1"/>
      <c r="D414" t="s">
        <v>252</v>
      </c>
    </row>
    <row r="415" spans="3:4" x14ac:dyDescent="0.45">
      <c r="C415" s="1"/>
      <c r="D415" t="s">
        <v>87</v>
      </c>
    </row>
    <row r="416" spans="3:4" x14ac:dyDescent="0.45">
      <c r="C416" s="1"/>
      <c r="D416" t="s">
        <v>88</v>
      </c>
    </row>
    <row r="417" spans="3:4" x14ac:dyDescent="0.45">
      <c r="C417" s="1"/>
      <c r="D417" t="s">
        <v>66</v>
      </c>
    </row>
    <row r="418" spans="3:4" x14ac:dyDescent="0.45">
      <c r="C418" s="1"/>
      <c r="D418" t="s">
        <v>253</v>
      </c>
    </row>
    <row r="419" spans="3:4" x14ac:dyDescent="0.45">
      <c r="C419" s="1"/>
      <c r="D419" t="s">
        <v>254</v>
      </c>
    </row>
    <row r="420" spans="3:4" x14ac:dyDescent="0.45">
      <c r="C420" s="1"/>
      <c r="D420" t="s">
        <v>255</v>
      </c>
    </row>
    <row r="421" spans="3:4" x14ac:dyDescent="0.45">
      <c r="C421" s="1"/>
      <c r="D421" t="s">
        <v>69</v>
      </c>
    </row>
    <row r="422" spans="3:4" x14ac:dyDescent="0.45">
      <c r="C422" s="1"/>
      <c r="D422" t="s">
        <v>256</v>
      </c>
    </row>
    <row r="423" spans="3:4" x14ac:dyDescent="0.45">
      <c r="C423" s="1"/>
      <c r="D423" t="s">
        <v>132</v>
      </c>
    </row>
    <row r="424" spans="3:4" x14ac:dyDescent="0.45">
      <c r="C424" s="1"/>
      <c r="D424" t="s">
        <v>257</v>
      </c>
    </row>
    <row r="425" spans="3:4" x14ac:dyDescent="0.45">
      <c r="C425" s="1"/>
      <c r="D425" t="s">
        <v>258</v>
      </c>
    </row>
    <row r="426" spans="3:4" x14ac:dyDescent="0.45">
      <c r="C426" s="1"/>
      <c r="D426" t="s">
        <v>134</v>
      </c>
    </row>
    <row r="427" spans="3:4" x14ac:dyDescent="0.45">
      <c r="C427" s="1"/>
      <c r="D427" t="s">
        <v>259</v>
      </c>
    </row>
    <row r="428" spans="3:4" x14ac:dyDescent="0.45">
      <c r="C428" s="1"/>
      <c r="D428" t="s">
        <v>84</v>
      </c>
    </row>
    <row r="429" spans="3:4" x14ac:dyDescent="0.45">
      <c r="C429" s="1"/>
      <c r="D429" t="s">
        <v>85</v>
      </c>
    </row>
    <row r="430" spans="3:4" x14ac:dyDescent="0.45">
      <c r="C430" s="1"/>
      <c r="D430" t="s">
        <v>260</v>
      </c>
    </row>
    <row r="431" spans="3:4" x14ac:dyDescent="0.45">
      <c r="C431" s="1"/>
      <c r="D431" t="s">
        <v>87</v>
      </c>
    </row>
    <row r="432" spans="3:4" x14ac:dyDescent="0.45">
      <c r="C432" s="1"/>
      <c r="D432" t="s">
        <v>88</v>
      </c>
    </row>
    <row r="433" spans="3:4" x14ac:dyDescent="0.45">
      <c r="C433" s="1"/>
      <c r="D433" t="s">
        <v>66</v>
      </c>
    </row>
    <row r="434" spans="3:4" x14ac:dyDescent="0.45">
      <c r="C434" s="1"/>
      <c r="D434" t="s">
        <v>261</v>
      </c>
    </row>
    <row r="435" spans="3:4" x14ac:dyDescent="0.45">
      <c r="C435" s="1"/>
      <c r="D435" t="s">
        <v>262</v>
      </c>
    </row>
    <row r="436" spans="3:4" x14ac:dyDescent="0.45">
      <c r="C436" s="1"/>
      <c r="D436" t="s">
        <v>69</v>
      </c>
    </row>
    <row r="437" spans="3:4" x14ac:dyDescent="0.45">
      <c r="C437" s="1"/>
      <c r="D437" t="s">
        <v>263</v>
      </c>
    </row>
    <row r="438" spans="3:4" x14ac:dyDescent="0.45">
      <c r="C438" s="1"/>
      <c r="D438" t="s">
        <v>132</v>
      </c>
    </row>
    <row r="439" spans="3:4" x14ac:dyDescent="0.45">
      <c r="C439" s="1"/>
      <c r="D439" t="s">
        <v>199</v>
      </c>
    </row>
    <row r="440" spans="3:4" x14ac:dyDescent="0.45">
      <c r="C440" s="1"/>
      <c r="D440" t="s">
        <v>200</v>
      </c>
    </row>
    <row r="441" spans="3:4" x14ac:dyDescent="0.45">
      <c r="C441" s="1"/>
      <c r="D441" t="s">
        <v>134</v>
      </c>
    </row>
    <row r="442" spans="3:4" x14ac:dyDescent="0.45">
      <c r="C442" s="1"/>
      <c r="D442" t="s">
        <v>201</v>
      </c>
    </row>
    <row r="443" spans="3:4" x14ac:dyDescent="0.45">
      <c r="C443" s="1"/>
      <c r="D443" t="s">
        <v>84</v>
      </c>
    </row>
    <row r="444" spans="3:4" x14ac:dyDescent="0.45">
      <c r="C444" s="1"/>
      <c r="D444" t="s">
        <v>85</v>
      </c>
    </row>
    <row r="445" spans="3:4" x14ac:dyDescent="0.45">
      <c r="C445" s="1"/>
      <c r="D445" t="s">
        <v>202</v>
      </c>
    </row>
    <row r="446" spans="3:4" x14ac:dyDescent="0.45">
      <c r="C446" s="1"/>
      <c r="D446" t="s">
        <v>87</v>
      </c>
    </row>
    <row r="447" spans="3:4" x14ac:dyDescent="0.45">
      <c r="C447" s="1"/>
      <c r="D447" t="s">
        <v>88</v>
      </c>
    </row>
    <row r="448" spans="3:4" x14ac:dyDescent="0.45">
      <c r="C448" s="1"/>
      <c r="D448" t="s">
        <v>66</v>
      </c>
    </row>
    <row r="449" spans="3:4" x14ac:dyDescent="0.45">
      <c r="C449" s="1"/>
      <c r="D449" t="s">
        <v>264</v>
      </c>
    </row>
    <row r="450" spans="3:4" x14ac:dyDescent="0.45">
      <c r="C450" s="1"/>
      <c r="D450" t="s">
        <v>265</v>
      </c>
    </row>
    <row r="451" spans="3:4" x14ac:dyDescent="0.45">
      <c r="C451" s="1"/>
      <c r="D451" t="s">
        <v>69</v>
      </c>
    </row>
    <row r="452" spans="3:4" x14ac:dyDescent="0.45">
      <c r="C452" s="1"/>
      <c r="D452" t="s">
        <v>266</v>
      </c>
    </row>
    <row r="453" spans="3:4" x14ac:dyDescent="0.45">
      <c r="C453" s="1"/>
      <c r="D453" t="s">
        <v>132</v>
      </c>
    </row>
    <row r="454" spans="3:4" x14ac:dyDescent="0.45">
      <c r="C454" s="1"/>
      <c r="D454" t="s">
        <v>267</v>
      </c>
    </row>
    <row r="455" spans="3:4" x14ac:dyDescent="0.45">
      <c r="C455" s="1"/>
      <c r="D455" t="s">
        <v>268</v>
      </c>
    </row>
    <row r="456" spans="3:4" x14ac:dyDescent="0.45">
      <c r="C456" s="1"/>
      <c r="D456" t="s">
        <v>134</v>
      </c>
    </row>
    <row r="457" spans="3:4" x14ac:dyDescent="0.45">
      <c r="C457" s="1"/>
      <c r="D457" t="s">
        <v>201</v>
      </c>
    </row>
    <row r="458" spans="3:4" x14ac:dyDescent="0.45">
      <c r="C458" s="1"/>
      <c r="D458" t="s">
        <v>84</v>
      </c>
    </row>
    <row r="459" spans="3:4" x14ac:dyDescent="0.45">
      <c r="C459" s="1"/>
      <c r="D459" t="s">
        <v>85</v>
      </c>
    </row>
    <row r="460" spans="3:4" x14ac:dyDescent="0.45">
      <c r="C460" s="1"/>
      <c r="D460" t="s">
        <v>269</v>
      </c>
    </row>
    <row r="461" spans="3:4" x14ac:dyDescent="0.45">
      <c r="C461" s="1"/>
      <c r="D461" t="s">
        <v>87</v>
      </c>
    </row>
    <row r="462" spans="3:4" x14ac:dyDescent="0.45">
      <c r="C462" s="1"/>
      <c r="D462" t="s">
        <v>88</v>
      </c>
    </row>
    <row r="463" spans="3:4" x14ac:dyDescent="0.45">
      <c r="C463" s="1"/>
      <c r="D463" t="s">
        <v>66</v>
      </c>
    </row>
    <row r="464" spans="3:4" x14ac:dyDescent="0.45">
      <c r="C464" s="1"/>
      <c r="D464" t="s">
        <v>270</v>
      </c>
    </row>
    <row r="465" spans="3:4" x14ac:dyDescent="0.45">
      <c r="C465" s="1"/>
      <c r="D465" t="s">
        <v>271</v>
      </c>
    </row>
    <row r="466" spans="3:4" x14ac:dyDescent="0.45">
      <c r="C466" s="1"/>
      <c r="D466" t="s">
        <v>272</v>
      </c>
    </row>
    <row r="467" spans="3:4" x14ac:dyDescent="0.45">
      <c r="C467" s="1"/>
      <c r="D467" t="s">
        <v>69</v>
      </c>
    </row>
    <row r="468" spans="3:4" x14ac:dyDescent="0.45">
      <c r="C468" s="1"/>
      <c r="D468" t="s">
        <v>273</v>
      </c>
    </row>
    <row r="469" spans="3:4" x14ac:dyDescent="0.45">
      <c r="C469" s="1"/>
      <c r="D469" t="s">
        <v>132</v>
      </c>
    </row>
    <row r="470" spans="3:4" x14ac:dyDescent="0.45">
      <c r="C470" s="1"/>
      <c r="D470" t="s">
        <v>274</v>
      </c>
    </row>
    <row r="471" spans="3:4" x14ac:dyDescent="0.45">
      <c r="C471" s="1"/>
      <c r="D471" t="s">
        <v>275</v>
      </c>
    </row>
    <row r="472" spans="3:4" x14ac:dyDescent="0.45">
      <c r="C472" s="1"/>
      <c r="D472" t="s">
        <v>134</v>
      </c>
    </row>
    <row r="473" spans="3:4" x14ac:dyDescent="0.45">
      <c r="C473" s="1"/>
      <c r="D473" t="s">
        <v>201</v>
      </c>
    </row>
    <row r="474" spans="3:4" x14ac:dyDescent="0.45">
      <c r="C474" s="1"/>
      <c r="D474" t="s">
        <v>84</v>
      </c>
    </row>
    <row r="475" spans="3:4" x14ac:dyDescent="0.45">
      <c r="C475" s="1"/>
      <c r="D475" t="s">
        <v>85</v>
      </c>
    </row>
    <row r="476" spans="3:4" x14ac:dyDescent="0.45">
      <c r="C476" s="1"/>
      <c r="D476" t="s">
        <v>276</v>
      </c>
    </row>
    <row r="477" spans="3:4" x14ac:dyDescent="0.45">
      <c r="C477" s="1"/>
      <c r="D477" t="s">
        <v>87</v>
      </c>
    </row>
    <row r="478" spans="3:4" x14ac:dyDescent="0.45">
      <c r="C478" s="1"/>
      <c r="D478" t="s">
        <v>88</v>
      </c>
    </row>
    <row r="479" spans="3:4" x14ac:dyDescent="0.45">
      <c r="C479" s="1"/>
      <c r="D479" t="s">
        <v>66</v>
      </c>
    </row>
    <row r="480" spans="3:4" x14ac:dyDescent="0.45">
      <c r="C480" s="1"/>
      <c r="D480" t="s">
        <v>277</v>
      </c>
    </row>
    <row r="481" spans="3:4" x14ac:dyDescent="0.45">
      <c r="C481" s="1"/>
      <c r="D481" t="s">
        <v>278</v>
      </c>
    </row>
    <row r="482" spans="3:4" x14ac:dyDescent="0.45">
      <c r="C482" s="1"/>
      <c r="D482" t="s">
        <v>69</v>
      </c>
    </row>
    <row r="483" spans="3:4" x14ac:dyDescent="0.45">
      <c r="C483" s="1"/>
      <c r="D483" t="s">
        <v>279</v>
      </c>
    </row>
    <row r="484" spans="3:4" x14ac:dyDescent="0.45">
      <c r="C484" s="1"/>
      <c r="D484" t="s">
        <v>132</v>
      </c>
    </row>
    <row r="485" spans="3:4" x14ac:dyDescent="0.45">
      <c r="C485" s="1"/>
      <c r="D485" t="s">
        <v>280</v>
      </c>
    </row>
    <row r="486" spans="3:4" x14ac:dyDescent="0.45">
      <c r="D486" t="s">
        <v>281</v>
      </c>
    </row>
    <row r="487" spans="3:4" x14ac:dyDescent="0.45">
      <c r="D487" t="s">
        <v>134</v>
      </c>
    </row>
    <row r="488" spans="3:4" x14ac:dyDescent="0.45">
      <c r="D488" t="s">
        <v>201</v>
      </c>
    </row>
    <row r="489" spans="3:4" x14ac:dyDescent="0.45">
      <c r="D489" t="s">
        <v>84</v>
      </c>
    </row>
    <row r="490" spans="3:4" x14ac:dyDescent="0.45">
      <c r="D490" t="s">
        <v>85</v>
      </c>
    </row>
    <row r="491" spans="3:4" x14ac:dyDescent="0.45">
      <c r="D491" t="s">
        <v>282</v>
      </c>
    </row>
    <row r="492" spans="3:4" x14ac:dyDescent="0.45">
      <c r="D492" t="s">
        <v>87</v>
      </c>
    </row>
    <row r="493" spans="3:4" x14ac:dyDescent="0.45">
      <c r="D493" t="s">
        <v>88</v>
      </c>
    </row>
    <row r="494" spans="3:4" x14ac:dyDescent="0.45">
      <c r="D494" t="s">
        <v>66</v>
      </c>
    </row>
    <row r="495" spans="3:4" x14ac:dyDescent="0.45">
      <c r="D495" t="s">
        <v>283</v>
      </c>
    </row>
    <row r="496" spans="3:4" x14ac:dyDescent="0.45">
      <c r="D496" t="s">
        <v>284</v>
      </c>
    </row>
    <row r="497" spans="4:4" x14ac:dyDescent="0.45">
      <c r="D497" t="s">
        <v>285</v>
      </c>
    </row>
    <row r="498" spans="4:4" x14ac:dyDescent="0.45">
      <c r="D498" t="s">
        <v>69</v>
      </c>
    </row>
    <row r="499" spans="4:4" x14ac:dyDescent="0.45">
      <c r="D499" t="s">
        <v>286</v>
      </c>
    </row>
    <row r="500" spans="4:4" x14ac:dyDescent="0.45">
      <c r="D500" t="s">
        <v>132</v>
      </c>
    </row>
    <row r="501" spans="4:4" x14ac:dyDescent="0.45">
      <c r="D501" t="s">
        <v>287</v>
      </c>
    </row>
    <row r="502" spans="4:4" x14ac:dyDescent="0.45">
      <c r="D502" t="s">
        <v>288</v>
      </c>
    </row>
    <row r="503" spans="4:4" x14ac:dyDescent="0.45">
      <c r="D503" t="s">
        <v>134</v>
      </c>
    </row>
    <row r="504" spans="4:4" x14ac:dyDescent="0.45">
      <c r="D504" t="s">
        <v>179</v>
      </c>
    </row>
    <row r="505" spans="4:4" x14ac:dyDescent="0.45">
      <c r="D505" t="s">
        <v>84</v>
      </c>
    </row>
    <row r="506" spans="4:4" x14ac:dyDescent="0.45">
      <c r="D506" t="s">
        <v>85</v>
      </c>
    </row>
    <row r="507" spans="4:4" x14ac:dyDescent="0.45">
      <c r="D507" t="s">
        <v>289</v>
      </c>
    </row>
    <row r="508" spans="4:4" x14ac:dyDescent="0.45">
      <c r="D508" t="s">
        <v>87</v>
      </c>
    </row>
    <row r="509" spans="4:4" x14ac:dyDescent="0.45">
      <c r="D509" t="s">
        <v>88</v>
      </c>
    </row>
    <row r="510" spans="4:4" x14ac:dyDescent="0.45">
      <c r="D510" t="s">
        <v>66</v>
      </c>
    </row>
    <row r="511" spans="4:4" x14ac:dyDescent="0.45">
      <c r="D511" t="s">
        <v>290</v>
      </c>
    </row>
    <row r="512" spans="4:4" x14ac:dyDescent="0.45">
      <c r="D512" t="s">
        <v>291</v>
      </c>
    </row>
    <row r="513" spans="4:4" x14ac:dyDescent="0.45">
      <c r="D513" t="s">
        <v>69</v>
      </c>
    </row>
    <row r="514" spans="4:4" x14ac:dyDescent="0.45">
      <c r="D514" t="s">
        <v>292</v>
      </c>
    </row>
    <row r="515" spans="4:4" x14ac:dyDescent="0.45">
      <c r="D515" t="s">
        <v>132</v>
      </c>
    </row>
    <row r="516" spans="4:4" x14ac:dyDescent="0.45">
      <c r="D516" t="s">
        <v>267</v>
      </c>
    </row>
    <row r="517" spans="4:4" x14ac:dyDescent="0.45">
      <c r="D517" t="s">
        <v>268</v>
      </c>
    </row>
    <row r="518" spans="4:4" x14ac:dyDescent="0.45">
      <c r="D518" t="s">
        <v>134</v>
      </c>
    </row>
    <row r="519" spans="4:4" x14ac:dyDescent="0.45">
      <c r="D519" t="s">
        <v>201</v>
      </c>
    </row>
    <row r="520" spans="4:4" x14ac:dyDescent="0.45">
      <c r="D520" t="s">
        <v>84</v>
      </c>
    </row>
    <row r="521" spans="4:4" x14ac:dyDescent="0.45">
      <c r="D521" t="s">
        <v>85</v>
      </c>
    </row>
    <row r="522" spans="4:4" x14ac:dyDescent="0.45">
      <c r="D522" t="s">
        <v>269</v>
      </c>
    </row>
    <row r="523" spans="4:4" x14ac:dyDescent="0.45">
      <c r="D523" t="s">
        <v>87</v>
      </c>
    </row>
    <row r="524" spans="4:4" x14ac:dyDescent="0.45">
      <c r="D524" t="s">
        <v>88</v>
      </c>
    </row>
    <row r="525" spans="4:4" x14ac:dyDescent="0.45">
      <c r="D525" t="s">
        <v>66</v>
      </c>
    </row>
    <row r="526" spans="4:4" x14ac:dyDescent="0.45">
      <c r="D526" t="s">
        <v>293</v>
      </c>
    </row>
    <row r="527" spans="4:4" x14ac:dyDescent="0.45">
      <c r="D527" t="s">
        <v>294</v>
      </c>
    </row>
    <row r="528" spans="4:4" x14ac:dyDescent="0.45">
      <c r="D528" t="s">
        <v>295</v>
      </c>
    </row>
    <row r="529" spans="4:4" x14ac:dyDescent="0.45">
      <c r="D529" t="s">
        <v>69</v>
      </c>
    </row>
    <row r="530" spans="4:4" x14ac:dyDescent="0.45">
      <c r="D530" t="s">
        <v>296</v>
      </c>
    </row>
    <row r="531" spans="4:4" x14ac:dyDescent="0.45">
      <c r="D531" t="s">
        <v>132</v>
      </c>
    </row>
    <row r="532" spans="4:4" x14ac:dyDescent="0.45">
      <c r="D532" t="s">
        <v>297</v>
      </c>
    </row>
    <row r="533" spans="4:4" x14ac:dyDescent="0.45">
      <c r="D533" t="s">
        <v>298</v>
      </c>
    </row>
    <row r="534" spans="4:4" x14ac:dyDescent="0.45">
      <c r="D534" t="s">
        <v>134</v>
      </c>
    </row>
    <row r="535" spans="4:4" x14ac:dyDescent="0.45">
      <c r="D535" t="s">
        <v>158</v>
      </c>
    </row>
    <row r="536" spans="4:4" x14ac:dyDescent="0.45">
      <c r="D536" t="s">
        <v>84</v>
      </c>
    </row>
    <row r="537" spans="4:4" x14ac:dyDescent="0.45">
      <c r="D537" t="s">
        <v>85</v>
      </c>
    </row>
    <row r="538" spans="4:4" x14ac:dyDescent="0.45">
      <c r="D538" t="s">
        <v>299</v>
      </c>
    </row>
    <row r="539" spans="4:4" x14ac:dyDescent="0.45">
      <c r="D539" t="s">
        <v>87</v>
      </c>
    </row>
    <row r="540" spans="4:4" x14ac:dyDescent="0.45">
      <c r="D540" t="s">
        <v>88</v>
      </c>
    </row>
    <row r="541" spans="4:4" x14ac:dyDescent="0.45">
      <c r="D541" t="s">
        <v>66</v>
      </c>
    </row>
    <row r="542" spans="4:4" x14ac:dyDescent="0.45">
      <c r="D542" t="s">
        <v>300</v>
      </c>
    </row>
    <row r="543" spans="4:4" x14ac:dyDescent="0.45">
      <c r="D543" t="s">
        <v>301</v>
      </c>
    </row>
    <row r="544" spans="4:4" x14ac:dyDescent="0.45">
      <c r="D544" t="s">
        <v>69</v>
      </c>
    </row>
    <row r="545" spans="4:4" x14ac:dyDescent="0.45">
      <c r="D545" t="s">
        <v>302</v>
      </c>
    </row>
    <row r="546" spans="4:4" x14ac:dyDescent="0.45">
      <c r="D546" t="s">
        <v>132</v>
      </c>
    </row>
    <row r="547" spans="4:4" x14ac:dyDescent="0.45">
      <c r="D547" t="s">
        <v>213</v>
      </c>
    </row>
    <row r="548" spans="4:4" x14ac:dyDescent="0.45">
      <c r="D548" t="s">
        <v>214</v>
      </c>
    </row>
    <row r="549" spans="4:4" x14ac:dyDescent="0.45">
      <c r="D549" t="s">
        <v>134</v>
      </c>
    </row>
    <row r="550" spans="4:4" x14ac:dyDescent="0.45">
      <c r="D550" t="s">
        <v>215</v>
      </c>
    </row>
    <row r="551" spans="4:4" x14ac:dyDescent="0.45">
      <c r="D551" t="s">
        <v>84</v>
      </c>
    </row>
    <row r="552" spans="4:4" x14ac:dyDescent="0.45">
      <c r="D552" t="s">
        <v>85</v>
      </c>
    </row>
    <row r="553" spans="4:4" x14ac:dyDescent="0.45">
      <c r="D553" t="s">
        <v>216</v>
      </c>
    </row>
    <row r="554" spans="4:4" x14ac:dyDescent="0.45">
      <c r="D554" t="s">
        <v>87</v>
      </c>
    </row>
    <row r="555" spans="4:4" x14ac:dyDescent="0.45">
      <c r="D555" t="s">
        <v>88</v>
      </c>
    </row>
    <row r="556" spans="4:4" x14ac:dyDescent="0.45">
      <c r="D556" t="s">
        <v>66</v>
      </c>
    </row>
    <row r="557" spans="4:4" x14ac:dyDescent="0.45">
      <c r="D557" t="s">
        <v>303</v>
      </c>
    </row>
    <row r="558" spans="4:4" x14ac:dyDescent="0.45">
      <c r="D558" t="s">
        <v>304</v>
      </c>
    </row>
    <row r="559" spans="4:4" x14ac:dyDescent="0.45">
      <c r="D559" t="s">
        <v>305</v>
      </c>
    </row>
    <row r="560" spans="4:4" x14ac:dyDescent="0.45">
      <c r="D560" t="s">
        <v>69</v>
      </c>
    </row>
    <row r="561" spans="4:4" x14ac:dyDescent="0.45">
      <c r="D561" t="s">
        <v>306</v>
      </c>
    </row>
    <row r="562" spans="4:4" x14ac:dyDescent="0.45">
      <c r="D562" t="s">
        <v>132</v>
      </c>
    </row>
    <row r="563" spans="4:4" x14ac:dyDescent="0.45">
      <c r="D563" t="s">
        <v>307</v>
      </c>
    </row>
    <row r="564" spans="4:4" x14ac:dyDescent="0.45">
      <c r="D564" t="s">
        <v>308</v>
      </c>
    </row>
    <row r="565" spans="4:4" x14ac:dyDescent="0.45">
      <c r="D565" t="s">
        <v>134</v>
      </c>
    </row>
    <row r="566" spans="4:4" x14ac:dyDescent="0.45">
      <c r="D566" t="s">
        <v>309</v>
      </c>
    </row>
    <row r="567" spans="4:4" x14ac:dyDescent="0.45">
      <c r="D567" t="s">
        <v>84</v>
      </c>
    </row>
    <row r="568" spans="4:4" x14ac:dyDescent="0.45">
      <c r="D568" t="s">
        <v>85</v>
      </c>
    </row>
    <row r="569" spans="4:4" x14ac:dyDescent="0.45">
      <c r="D569" t="s">
        <v>310</v>
      </c>
    </row>
    <row r="570" spans="4:4" x14ac:dyDescent="0.45">
      <c r="D570" t="s">
        <v>87</v>
      </c>
    </row>
    <row r="571" spans="4:4" x14ac:dyDescent="0.45">
      <c r="D571" t="s">
        <v>88</v>
      </c>
    </row>
    <row r="572" spans="4:4" x14ac:dyDescent="0.45">
      <c r="D572" t="s">
        <v>66</v>
      </c>
    </row>
    <row r="573" spans="4:4" x14ac:dyDescent="0.45">
      <c r="D573" t="s">
        <v>311</v>
      </c>
    </row>
    <row r="574" spans="4:4" x14ac:dyDescent="0.45">
      <c r="D574" t="s">
        <v>312</v>
      </c>
    </row>
    <row r="575" spans="4:4" x14ac:dyDescent="0.45">
      <c r="D575" t="s">
        <v>69</v>
      </c>
    </row>
    <row r="576" spans="4:4" x14ac:dyDescent="0.45">
      <c r="D576" t="s">
        <v>313</v>
      </c>
    </row>
    <row r="577" spans="4:4" x14ac:dyDescent="0.45">
      <c r="D577" t="s">
        <v>132</v>
      </c>
    </row>
    <row r="578" spans="4:4" x14ac:dyDescent="0.45">
      <c r="D578" t="s">
        <v>250</v>
      </c>
    </row>
    <row r="579" spans="4:4" x14ac:dyDescent="0.45">
      <c r="D579" t="s">
        <v>134</v>
      </c>
    </row>
    <row r="580" spans="4:4" x14ac:dyDescent="0.45">
      <c r="D580" t="s">
        <v>251</v>
      </c>
    </row>
    <row r="581" spans="4:4" x14ac:dyDescent="0.45">
      <c r="D581" t="s">
        <v>84</v>
      </c>
    </row>
    <row r="582" spans="4:4" x14ac:dyDescent="0.45">
      <c r="D582" t="s">
        <v>85</v>
      </c>
    </row>
    <row r="583" spans="4:4" x14ac:dyDescent="0.45">
      <c r="D583" t="s">
        <v>252</v>
      </c>
    </row>
    <row r="584" spans="4:4" x14ac:dyDescent="0.45">
      <c r="D584" t="s">
        <v>87</v>
      </c>
    </row>
    <row r="585" spans="4:4" x14ac:dyDescent="0.45">
      <c r="D585" t="s">
        <v>88</v>
      </c>
    </row>
    <row r="586" spans="4:4" x14ac:dyDescent="0.45">
      <c r="D586" t="s">
        <v>66</v>
      </c>
    </row>
    <row r="587" spans="4:4" x14ac:dyDescent="0.45">
      <c r="D587" t="s">
        <v>314</v>
      </c>
    </row>
    <row r="588" spans="4:4" x14ac:dyDescent="0.45">
      <c r="D588" t="s">
        <v>315</v>
      </c>
    </row>
    <row r="589" spans="4:4" x14ac:dyDescent="0.45">
      <c r="D589" t="s">
        <v>316</v>
      </c>
    </row>
    <row r="590" spans="4:4" x14ac:dyDescent="0.45">
      <c r="D590" t="s">
        <v>317</v>
      </c>
    </row>
    <row r="591" spans="4:4" x14ac:dyDescent="0.45">
      <c r="D591" t="s">
        <v>69</v>
      </c>
    </row>
    <row r="592" spans="4:4" x14ac:dyDescent="0.45">
      <c r="D592" t="s">
        <v>318</v>
      </c>
    </row>
    <row r="593" spans="4:4" x14ac:dyDescent="0.45">
      <c r="D593" t="s">
        <v>132</v>
      </c>
    </row>
    <row r="594" spans="4:4" x14ac:dyDescent="0.45">
      <c r="D594" t="s">
        <v>319</v>
      </c>
    </row>
    <row r="595" spans="4:4" x14ac:dyDescent="0.45">
      <c r="D595" t="s">
        <v>320</v>
      </c>
    </row>
    <row r="596" spans="4:4" x14ac:dyDescent="0.45">
      <c r="D596" t="s">
        <v>134</v>
      </c>
    </row>
    <row r="597" spans="4:4" x14ac:dyDescent="0.45">
      <c r="D597" t="s">
        <v>158</v>
      </c>
    </row>
    <row r="598" spans="4:4" x14ac:dyDescent="0.45">
      <c r="D598" t="s">
        <v>84</v>
      </c>
    </row>
    <row r="599" spans="4:4" x14ac:dyDescent="0.45">
      <c r="D599" t="s">
        <v>85</v>
      </c>
    </row>
    <row r="600" spans="4:4" x14ac:dyDescent="0.45">
      <c r="D600" t="s">
        <v>321</v>
      </c>
    </row>
    <row r="601" spans="4:4" x14ac:dyDescent="0.45">
      <c r="D601" t="s">
        <v>87</v>
      </c>
    </row>
    <row r="602" spans="4:4" x14ac:dyDescent="0.45">
      <c r="D602" t="s">
        <v>88</v>
      </c>
    </row>
    <row r="603" spans="4:4" x14ac:dyDescent="0.45">
      <c r="D603" t="s">
        <v>66</v>
      </c>
    </row>
    <row r="604" spans="4:4" x14ac:dyDescent="0.45">
      <c r="D604" t="s">
        <v>322</v>
      </c>
    </row>
    <row r="605" spans="4:4" x14ac:dyDescent="0.45">
      <c r="D605" t="s">
        <v>323</v>
      </c>
    </row>
    <row r="606" spans="4:4" x14ac:dyDescent="0.45">
      <c r="D606" t="s">
        <v>324</v>
      </c>
    </row>
    <row r="607" spans="4:4" x14ac:dyDescent="0.45">
      <c r="D607" t="s">
        <v>69</v>
      </c>
    </row>
    <row r="608" spans="4:4" x14ac:dyDescent="0.45">
      <c r="D608" t="s">
        <v>325</v>
      </c>
    </row>
    <row r="609" spans="4:4" x14ac:dyDescent="0.45">
      <c r="D609" t="s">
        <v>132</v>
      </c>
    </row>
    <row r="610" spans="4:4" x14ac:dyDescent="0.45">
      <c r="D610" t="s">
        <v>326</v>
      </c>
    </row>
    <row r="611" spans="4:4" x14ac:dyDescent="0.45">
      <c r="D611" t="s">
        <v>200</v>
      </c>
    </row>
    <row r="612" spans="4:4" x14ac:dyDescent="0.45">
      <c r="D612" t="s">
        <v>134</v>
      </c>
    </row>
    <row r="613" spans="4:4" x14ac:dyDescent="0.45">
      <c r="D613" t="s">
        <v>327</v>
      </c>
    </row>
    <row r="614" spans="4:4" x14ac:dyDescent="0.45">
      <c r="D614" t="s">
        <v>84</v>
      </c>
    </row>
    <row r="615" spans="4:4" x14ac:dyDescent="0.45">
      <c r="D615" t="s">
        <v>85</v>
      </c>
    </row>
    <row r="616" spans="4:4" x14ac:dyDescent="0.45">
      <c r="D616" t="s">
        <v>328</v>
      </c>
    </row>
    <row r="617" spans="4:4" x14ac:dyDescent="0.45">
      <c r="D617" t="s">
        <v>87</v>
      </c>
    </row>
    <row r="618" spans="4:4" x14ac:dyDescent="0.45">
      <c r="D618" t="s">
        <v>88</v>
      </c>
    </row>
    <row r="619" spans="4:4" x14ac:dyDescent="0.45">
      <c r="D619" t="s">
        <v>66</v>
      </c>
    </row>
    <row r="620" spans="4:4" x14ac:dyDescent="0.45">
      <c r="D620" t="s">
        <v>329</v>
      </c>
    </row>
    <row r="621" spans="4:4" x14ac:dyDescent="0.45">
      <c r="D621" t="s">
        <v>330</v>
      </c>
    </row>
    <row r="622" spans="4:4" x14ac:dyDescent="0.45">
      <c r="D622" t="s">
        <v>69</v>
      </c>
    </row>
    <row r="623" spans="4:4" x14ac:dyDescent="0.45">
      <c r="D623" t="s">
        <v>331</v>
      </c>
    </row>
    <row r="624" spans="4:4" x14ac:dyDescent="0.45">
      <c r="D624" t="s">
        <v>132</v>
      </c>
    </row>
    <row r="625" spans="4:4" x14ac:dyDescent="0.45">
      <c r="D625" t="s">
        <v>244</v>
      </c>
    </row>
    <row r="626" spans="4:4" x14ac:dyDescent="0.45">
      <c r="D626" t="s">
        <v>245</v>
      </c>
    </row>
    <row r="627" spans="4:4" x14ac:dyDescent="0.45">
      <c r="D627" t="s">
        <v>134</v>
      </c>
    </row>
    <row r="628" spans="4:4" x14ac:dyDescent="0.45">
      <c r="D628" t="s">
        <v>201</v>
      </c>
    </row>
    <row r="629" spans="4:4" x14ac:dyDescent="0.45">
      <c r="D629" t="s">
        <v>84</v>
      </c>
    </row>
    <row r="630" spans="4:4" x14ac:dyDescent="0.45">
      <c r="D630" t="s">
        <v>85</v>
      </c>
    </row>
    <row r="631" spans="4:4" x14ac:dyDescent="0.45">
      <c r="D631" t="s">
        <v>246</v>
      </c>
    </row>
    <row r="632" spans="4:4" x14ac:dyDescent="0.45">
      <c r="D632" t="s">
        <v>87</v>
      </c>
    </row>
    <row r="633" spans="4:4" x14ac:dyDescent="0.45">
      <c r="D633" t="s">
        <v>88</v>
      </c>
    </row>
    <row r="634" spans="4:4" x14ac:dyDescent="0.45">
      <c r="D634" t="s">
        <v>66</v>
      </c>
    </row>
    <row r="635" spans="4:4" x14ac:dyDescent="0.45">
      <c r="D635" t="s">
        <v>332</v>
      </c>
    </row>
    <row r="636" spans="4:4" x14ac:dyDescent="0.45">
      <c r="D636" t="s">
        <v>333</v>
      </c>
    </row>
    <row r="637" spans="4:4" x14ac:dyDescent="0.45">
      <c r="D637" t="s">
        <v>334</v>
      </c>
    </row>
    <row r="638" spans="4:4" x14ac:dyDescent="0.45">
      <c r="D638" t="s">
        <v>69</v>
      </c>
    </row>
    <row r="639" spans="4:4" x14ac:dyDescent="0.45">
      <c r="D639" t="s">
        <v>335</v>
      </c>
    </row>
    <row r="640" spans="4:4" x14ac:dyDescent="0.45">
      <c r="D640" t="s">
        <v>132</v>
      </c>
    </row>
    <row r="641" spans="4:4" x14ac:dyDescent="0.45">
      <c r="D641" t="s">
        <v>336</v>
      </c>
    </row>
    <row r="642" spans="4:4" x14ac:dyDescent="0.45">
      <c r="D642" t="s">
        <v>337</v>
      </c>
    </row>
    <row r="643" spans="4:4" x14ac:dyDescent="0.45">
      <c r="D643" t="s">
        <v>134</v>
      </c>
    </row>
    <row r="644" spans="4:4" x14ac:dyDescent="0.45">
      <c r="D644" t="s">
        <v>309</v>
      </c>
    </row>
    <row r="645" spans="4:4" x14ac:dyDescent="0.45">
      <c r="D645" t="s">
        <v>84</v>
      </c>
    </row>
    <row r="646" spans="4:4" x14ac:dyDescent="0.45">
      <c r="D646" t="s">
        <v>85</v>
      </c>
    </row>
    <row r="647" spans="4:4" x14ac:dyDescent="0.45">
      <c r="D647" t="s">
        <v>338</v>
      </c>
    </row>
    <row r="648" spans="4:4" x14ac:dyDescent="0.45">
      <c r="D648" t="s">
        <v>87</v>
      </c>
    </row>
    <row r="649" spans="4:4" x14ac:dyDescent="0.45">
      <c r="D649" t="s">
        <v>88</v>
      </c>
    </row>
    <row r="650" spans="4:4" x14ac:dyDescent="0.45">
      <c r="D650" t="s">
        <v>66</v>
      </c>
    </row>
    <row r="651" spans="4:4" x14ac:dyDescent="0.45">
      <c r="D651" t="s">
        <v>339</v>
      </c>
    </row>
    <row r="652" spans="4:4" x14ac:dyDescent="0.45">
      <c r="D652" t="s">
        <v>340</v>
      </c>
    </row>
    <row r="653" spans="4:4" x14ac:dyDescent="0.45">
      <c r="D653" t="s">
        <v>69</v>
      </c>
    </row>
    <row r="654" spans="4:4" x14ac:dyDescent="0.45">
      <c r="D654" t="s">
        <v>341</v>
      </c>
    </row>
    <row r="655" spans="4:4" x14ac:dyDescent="0.45">
      <c r="D655" t="s">
        <v>132</v>
      </c>
    </row>
    <row r="656" spans="4:4" x14ac:dyDescent="0.45">
      <c r="D656" t="s">
        <v>267</v>
      </c>
    </row>
    <row r="657" spans="4:4" x14ac:dyDescent="0.45">
      <c r="D657" t="s">
        <v>268</v>
      </c>
    </row>
    <row r="658" spans="4:4" x14ac:dyDescent="0.45">
      <c r="D658" t="s">
        <v>134</v>
      </c>
    </row>
    <row r="659" spans="4:4" x14ac:dyDescent="0.45">
      <c r="D659" t="s">
        <v>201</v>
      </c>
    </row>
    <row r="660" spans="4:4" x14ac:dyDescent="0.45">
      <c r="D660" t="s">
        <v>84</v>
      </c>
    </row>
    <row r="661" spans="4:4" x14ac:dyDescent="0.45">
      <c r="D661" t="s">
        <v>85</v>
      </c>
    </row>
    <row r="662" spans="4:4" x14ac:dyDescent="0.45">
      <c r="D662" t="s">
        <v>269</v>
      </c>
    </row>
    <row r="663" spans="4:4" x14ac:dyDescent="0.45">
      <c r="D663" t="s">
        <v>87</v>
      </c>
    </row>
    <row r="664" spans="4:4" x14ac:dyDescent="0.45">
      <c r="D664" t="s">
        <v>88</v>
      </c>
    </row>
    <row r="665" spans="4:4" x14ac:dyDescent="0.45">
      <c r="D665" t="s">
        <v>66</v>
      </c>
    </row>
    <row r="666" spans="4:4" x14ac:dyDescent="0.45">
      <c r="D666" t="s">
        <v>342</v>
      </c>
    </row>
    <row r="667" spans="4:4" x14ac:dyDescent="0.45">
      <c r="D667" t="s">
        <v>343</v>
      </c>
    </row>
    <row r="668" spans="4:4" x14ac:dyDescent="0.45">
      <c r="D668" t="s">
        <v>344</v>
      </c>
    </row>
    <row r="669" spans="4:4" x14ac:dyDescent="0.45">
      <c r="D669" t="s">
        <v>69</v>
      </c>
    </row>
    <row r="670" spans="4:4" x14ac:dyDescent="0.45">
      <c r="D670" t="s">
        <v>345</v>
      </c>
    </row>
    <row r="671" spans="4:4" x14ac:dyDescent="0.45">
      <c r="D671" t="s">
        <v>132</v>
      </c>
    </row>
    <row r="672" spans="4:4" x14ac:dyDescent="0.45">
      <c r="D672" t="s">
        <v>346</v>
      </c>
    </row>
    <row r="673" spans="4:4" x14ac:dyDescent="0.45">
      <c r="D673" t="s">
        <v>347</v>
      </c>
    </row>
    <row r="674" spans="4:4" x14ac:dyDescent="0.45">
      <c r="D674" t="s">
        <v>134</v>
      </c>
    </row>
    <row r="675" spans="4:4" x14ac:dyDescent="0.45">
      <c r="D675" t="s">
        <v>179</v>
      </c>
    </row>
    <row r="676" spans="4:4" x14ac:dyDescent="0.45">
      <c r="D676" t="s">
        <v>84</v>
      </c>
    </row>
    <row r="677" spans="4:4" x14ac:dyDescent="0.45">
      <c r="D677" t="s">
        <v>85</v>
      </c>
    </row>
    <row r="678" spans="4:4" x14ac:dyDescent="0.45">
      <c r="D678" t="s">
        <v>348</v>
      </c>
    </row>
    <row r="679" spans="4:4" x14ac:dyDescent="0.45">
      <c r="D679" t="s">
        <v>87</v>
      </c>
    </row>
    <row r="680" spans="4:4" x14ac:dyDescent="0.45">
      <c r="D680" t="s">
        <v>88</v>
      </c>
    </row>
    <row r="681" spans="4:4" x14ac:dyDescent="0.45">
      <c r="D681" t="s">
        <v>66</v>
      </c>
    </row>
    <row r="682" spans="4:4" x14ac:dyDescent="0.45">
      <c r="D682" t="s">
        <v>349</v>
      </c>
    </row>
    <row r="683" spans="4:4" x14ac:dyDescent="0.45">
      <c r="D683" t="s">
        <v>350</v>
      </c>
    </row>
    <row r="684" spans="4:4" x14ac:dyDescent="0.45">
      <c r="D684" t="s">
        <v>69</v>
      </c>
    </row>
    <row r="685" spans="4:4" x14ac:dyDescent="0.45">
      <c r="D685" t="s">
        <v>351</v>
      </c>
    </row>
    <row r="686" spans="4:4" x14ac:dyDescent="0.45">
      <c r="D686" t="s">
        <v>132</v>
      </c>
    </row>
    <row r="687" spans="4:4" x14ac:dyDescent="0.45">
      <c r="D687" t="s">
        <v>267</v>
      </c>
    </row>
    <row r="688" spans="4:4" x14ac:dyDescent="0.45">
      <c r="D688" t="s">
        <v>268</v>
      </c>
    </row>
    <row r="689" spans="4:4" x14ac:dyDescent="0.45">
      <c r="D689" t="s">
        <v>134</v>
      </c>
    </row>
    <row r="690" spans="4:4" x14ac:dyDescent="0.45">
      <c r="D690" t="s">
        <v>201</v>
      </c>
    </row>
    <row r="691" spans="4:4" x14ac:dyDescent="0.45">
      <c r="D691" t="s">
        <v>84</v>
      </c>
    </row>
    <row r="692" spans="4:4" x14ac:dyDescent="0.45">
      <c r="D692" t="s">
        <v>85</v>
      </c>
    </row>
    <row r="693" spans="4:4" x14ac:dyDescent="0.45">
      <c r="D693" t="s">
        <v>269</v>
      </c>
    </row>
    <row r="694" spans="4:4" x14ac:dyDescent="0.45">
      <c r="D694" t="s">
        <v>87</v>
      </c>
    </row>
    <row r="695" spans="4:4" x14ac:dyDescent="0.45">
      <c r="D695" t="s">
        <v>88</v>
      </c>
    </row>
    <row r="696" spans="4:4" x14ac:dyDescent="0.45">
      <c r="D696" t="s">
        <v>66</v>
      </c>
    </row>
    <row r="697" spans="4:4" x14ac:dyDescent="0.45">
      <c r="D697" t="s">
        <v>352</v>
      </c>
    </row>
    <row r="698" spans="4:4" x14ac:dyDescent="0.45">
      <c r="D698" t="s">
        <v>353</v>
      </c>
    </row>
    <row r="699" spans="4:4" x14ac:dyDescent="0.45">
      <c r="D699" t="s">
        <v>354</v>
      </c>
    </row>
    <row r="700" spans="4:4" x14ac:dyDescent="0.45">
      <c r="D700" t="s">
        <v>69</v>
      </c>
    </row>
    <row r="701" spans="4:4" x14ac:dyDescent="0.45">
      <c r="D701" t="s">
        <v>355</v>
      </c>
    </row>
    <row r="702" spans="4:4" x14ac:dyDescent="0.45">
      <c r="D702" t="s">
        <v>132</v>
      </c>
    </row>
    <row r="703" spans="4:4" x14ac:dyDescent="0.45">
      <c r="D703" t="s">
        <v>250</v>
      </c>
    </row>
    <row r="704" spans="4:4" x14ac:dyDescent="0.45">
      <c r="D704" t="s">
        <v>134</v>
      </c>
    </row>
    <row r="705" spans="4:4" x14ac:dyDescent="0.45">
      <c r="D705" t="s">
        <v>251</v>
      </c>
    </row>
    <row r="706" spans="4:4" x14ac:dyDescent="0.45">
      <c r="D706" t="s">
        <v>84</v>
      </c>
    </row>
    <row r="707" spans="4:4" x14ac:dyDescent="0.45">
      <c r="D707" t="s">
        <v>85</v>
      </c>
    </row>
    <row r="708" spans="4:4" x14ac:dyDescent="0.45">
      <c r="D708" t="s">
        <v>252</v>
      </c>
    </row>
    <row r="709" spans="4:4" x14ac:dyDescent="0.45">
      <c r="D709" t="s">
        <v>87</v>
      </c>
    </row>
    <row r="710" spans="4:4" x14ac:dyDescent="0.45">
      <c r="D710" t="s">
        <v>88</v>
      </c>
    </row>
    <row r="711" spans="4:4" x14ac:dyDescent="0.45">
      <c r="D711" t="s">
        <v>66</v>
      </c>
    </row>
    <row r="712" spans="4:4" x14ac:dyDescent="0.45">
      <c r="D712" t="s">
        <v>356</v>
      </c>
    </row>
    <row r="713" spans="4:4" x14ac:dyDescent="0.45">
      <c r="D713" t="s">
        <v>357</v>
      </c>
    </row>
    <row r="714" spans="4:4" x14ac:dyDescent="0.45">
      <c r="D714" t="s">
        <v>358</v>
      </c>
    </row>
    <row r="715" spans="4:4" x14ac:dyDescent="0.45">
      <c r="D715" t="s">
        <v>69</v>
      </c>
    </row>
    <row r="716" spans="4:4" x14ac:dyDescent="0.45">
      <c r="D716" t="s">
        <v>359</v>
      </c>
    </row>
    <row r="717" spans="4:4" x14ac:dyDescent="0.45">
      <c r="D717" t="s">
        <v>132</v>
      </c>
    </row>
    <row r="718" spans="4:4" x14ac:dyDescent="0.45">
      <c r="D718" t="s">
        <v>360</v>
      </c>
    </row>
    <row r="719" spans="4:4" x14ac:dyDescent="0.45">
      <c r="D719" t="s">
        <v>208</v>
      </c>
    </row>
    <row r="720" spans="4:4" x14ac:dyDescent="0.45">
      <c r="D720" t="s">
        <v>134</v>
      </c>
    </row>
    <row r="721" spans="4:4" x14ac:dyDescent="0.45">
      <c r="D721" t="s">
        <v>187</v>
      </c>
    </row>
    <row r="722" spans="4:4" x14ac:dyDescent="0.45">
      <c r="D722" t="s">
        <v>84</v>
      </c>
    </row>
    <row r="723" spans="4:4" x14ac:dyDescent="0.45">
      <c r="D723" t="s">
        <v>85</v>
      </c>
    </row>
    <row r="724" spans="4:4" x14ac:dyDescent="0.45">
      <c r="D724" t="s">
        <v>361</v>
      </c>
    </row>
    <row r="725" spans="4:4" x14ac:dyDescent="0.45">
      <c r="D725" t="s">
        <v>87</v>
      </c>
    </row>
    <row r="726" spans="4:4" x14ac:dyDescent="0.45">
      <c r="D726" t="s">
        <v>88</v>
      </c>
    </row>
    <row r="727" spans="4:4" x14ac:dyDescent="0.45">
      <c r="D727" t="s">
        <v>66</v>
      </c>
    </row>
    <row r="728" spans="4:4" x14ac:dyDescent="0.45">
      <c r="D728" t="s">
        <v>362</v>
      </c>
    </row>
    <row r="729" spans="4:4" x14ac:dyDescent="0.45">
      <c r="D729" t="s">
        <v>363</v>
      </c>
    </row>
    <row r="730" spans="4:4" x14ac:dyDescent="0.45">
      <c r="D730" t="s">
        <v>364</v>
      </c>
    </row>
    <row r="731" spans="4:4" x14ac:dyDescent="0.45">
      <c r="D731" t="s">
        <v>69</v>
      </c>
    </row>
    <row r="732" spans="4:4" x14ac:dyDescent="0.45">
      <c r="D732" t="s">
        <v>365</v>
      </c>
    </row>
    <row r="733" spans="4:4" x14ac:dyDescent="0.45">
      <c r="D733" t="s">
        <v>132</v>
      </c>
    </row>
    <row r="734" spans="4:4" x14ac:dyDescent="0.45">
      <c r="D734" t="s">
        <v>366</v>
      </c>
    </row>
    <row r="735" spans="4:4" x14ac:dyDescent="0.45">
      <c r="D735" t="s">
        <v>134</v>
      </c>
    </row>
    <row r="736" spans="4:4" x14ac:dyDescent="0.45">
      <c r="D736" t="s">
        <v>179</v>
      </c>
    </row>
    <row r="737" spans="4:4" x14ac:dyDescent="0.45">
      <c r="D737" t="s">
        <v>84</v>
      </c>
    </row>
    <row r="738" spans="4:4" x14ac:dyDescent="0.45">
      <c r="D738" t="s">
        <v>85</v>
      </c>
    </row>
    <row r="739" spans="4:4" x14ac:dyDescent="0.45">
      <c r="D739" t="s">
        <v>367</v>
      </c>
    </row>
    <row r="740" spans="4:4" x14ac:dyDescent="0.45">
      <c r="D740" t="s">
        <v>87</v>
      </c>
    </row>
    <row r="741" spans="4:4" x14ac:dyDescent="0.45">
      <c r="D741" t="s">
        <v>88</v>
      </c>
    </row>
    <row r="742" spans="4:4" x14ac:dyDescent="0.45">
      <c r="D742" t="s">
        <v>66</v>
      </c>
    </row>
    <row r="743" spans="4:4" x14ac:dyDescent="0.45">
      <c r="D743" t="s">
        <v>368</v>
      </c>
    </row>
    <row r="744" spans="4:4" x14ac:dyDescent="0.45">
      <c r="D744" t="s">
        <v>369</v>
      </c>
    </row>
    <row r="745" spans="4:4" x14ac:dyDescent="0.45">
      <c r="D745" t="s">
        <v>370</v>
      </c>
    </row>
    <row r="746" spans="4:4" x14ac:dyDescent="0.45">
      <c r="D746" t="s">
        <v>371</v>
      </c>
    </row>
    <row r="747" spans="4:4" x14ac:dyDescent="0.45">
      <c r="D747" t="s">
        <v>372</v>
      </c>
    </row>
    <row r="748" spans="4:4" x14ac:dyDescent="0.45">
      <c r="D748" t="s">
        <v>373</v>
      </c>
    </row>
    <row r="749" spans="4:4" x14ac:dyDescent="0.45">
      <c r="D749" t="s">
        <v>69</v>
      </c>
    </row>
    <row r="750" spans="4:4" x14ac:dyDescent="0.45">
      <c r="D750" t="s">
        <v>374</v>
      </c>
    </row>
    <row r="751" spans="4:4" x14ac:dyDescent="0.45">
      <c r="D751" t="s">
        <v>132</v>
      </c>
    </row>
    <row r="752" spans="4:4" x14ac:dyDescent="0.45">
      <c r="D752" t="s">
        <v>375</v>
      </c>
    </row>
    <row r="753" spans="4:4" x14ac:dyDescent="0.45">
      <c r="D753" t="s">
        <v>376</v>
      </c>
    </row>
    <row r="754" spans="4:4" x14ac:dyDescent="0.45">
      <c r="D754" t="s">
        <v>377</v>
      </c>
    </row>
    <row r="755" spans="4:4" x14ac:dyDescent="0.45">
      <c r="D755" t="s">
        <v>378</v>
      </c>
    </row>
    <row r="756" spans="4:4" x14ac:dyDescent="0.45">
      <c r="D756" t="s">
        <v>134</v>
      </c>
    </row>
    <row r="757" spans="4:4" x14ac:dyDescent="0.45">
      <c r="D757" t="s">
        <v>179</v>
      </c>
    </row>
    <row r="758" spans="4:4" x14ac:dyDescent="0.45">
      <c r="D758" t="s">
        <v>84</v>
      </c>
    </row>
    <row r="759" spans="4:4" x14ac:dyDescent="0.45">
      <c r="D759" t="s">
        <v>85</v>
      </c>
    </row>
    <row r="760" spans="4:4" x14ac:dyDescent="0.45">
      <c r="D760" t="s">
        <v>379</v>
      </c>
    </row>
    <row r="761" spans="4:4" x14ac:dyDescent="0.45">
      <c r="D761" t="s">
        <v>87</v>
      </c>
    </row>
    <row r="762" spans="4:4" x14ac:dyDescent="0.45">
      <c r="D762" t="s">
        <v>88</v>
      </c>
    </row>
    <row r="763" spans="4:4" x14ac:dyDescent="0.45">
      <c r="D763" t="s">
        <v>66</v>
      </c>
    </row>
    <row r="764" spans="4:4" x14ac:dyDescent="0.45">
      <c r="D764" t="s">
        <v>380</v>
      </c>
    </row>
    <row r="765" spans="4:4" x14ac:dyDescent="0.45">
      <c r="D765" t="s">
        <v>381</v>
      </c>
    </row>
    <row r="766" spans="4:4" x14ac:dyDescent="0.45">
      <c r="D766" t="s">
        <v>382</v>
      </c>
    </row>
    <row r="767" spans="4:4" x14ac:dyDescent="0.45">
      <c r="D767" t="s">
        <v>69</v>
      </c>
    </row>
    <row r="768" spans="4:4" x14ac:dyDescent="0.45">
      <c r="D768" t="s">
        <v>383</v>
      </c>
    </row>
    <row r="769" spans="4:4" x14ac:dyDescent="0.45">
      <c r="D769" t="s">
        <v>132</v>
      </c>
    </row>
    <row r="770" spans="4:4" x14ac:dyDescent="0.45">
      <c r="D770" t="s">
        <v>384</v>
      </c>
    </row>
    <row r="771" spans="4:4" x14ac:dyDescent="0.45">
      <c r="D771" t="s">
        <v>385</v>
      </c>
    </row>
    <row r="772" spans="4:4" x14ac:dyDescent="0.45">
      <c r="D772" t="s">
        <v>134</v>
      </c>
    </row>
    <row r="773" spans="4:4" x14ac:dyDescent="0.45">
      <c r="D773" t="s">
        <v>179</v>
      </c>
    </row>
    <row r="774" spans="4:4" x14ac:dyDescent="0.45">
      <c r="D774" t="s">
        <v>84</v>
      </c>
    </row>
    <row r="775" spans="4:4" x14ac:dyDescent="0.45">
      <c r="D775" t="s">
        <v>85</v>
      </c>
    </row>
    <row r="776" spans="4:4" x14ac:dyDescent="0.45">
      <c r="D776" t="s">
        <v>386</v>
      </c>
    </row>
    <row r="777" spans="4:4" x14ac:dyDescent="0.45">
      <c r="D777" t="s">
        <v>87</v>
      </c>
    </row>
    <row r="778" spans="4:4" x14ac:dyDescent="0.45">
      <c r="D778" t="s">
        <v>88</v>
      </c>
    </row>
    <row r="779" spans="4:4" x14ac:dyDescent="0.45">
      <c r="D779" t="s">
        <v>66</v>
      </c>
    </row>
    <row r="780" spans="4:4" x14ac:dyDescent="0.45">
      <c r="D780" t="s">
        <v>387</v>
      </c>
    </row>
    <row r="781" spans="4:4" x14ac:dyDescent="0.45">
      <c r="D781" t="s">
        <v>388</v>
      </c>
    </row>
    <row r="782" spans="4:4" x14ac:dyDescent="0.45">
      <c r="D782" t="s">
        <v>389</v>
      </c>
    </row>
    <row r="783" spans="4:4" x14ac:dyDescent="0.45">
      <c r="D783" t="s">
        <v>69</v>
      </c>
    </row>
    <row r="784" spans="4:4" x14ac:dyDescent="0.45">
      <c r="D784" t="s">
        <v>390</v>
      </c>
    </row>
    <row r="785" spans="4:4" x14ac:dyDescent="0.45">
      <c r="D785" t="s">
        <v>132</v>
      </c>
    </row>
    <row r="786" spans="4:4" x14ac:dyDescent="0.45">
      <c r="D786" t="s">
        <v>391</v>
      </c>
    </row>
    <row r="787" spans="4:4" x14ac:dyDescent="0.45">
      <c r="D787" t="s">
        <v>392</v>
      </c>
    </row>
    <row r="788" spans="4:4" x14ac:dyDescent="0.45">
      <c r="D788" t="s">
        <v>134</v>
      </c>
    </row>
    <row r="789" spans="4:4" x14ac:dyDescent="0.45">
      <c r="D789" t="s">
        <v>179</v>
      </c>
    </row>
    <row r="790" spans="4:4" x14ac:dyDescent="0.45">
      <c r="D790" t="s">
        <v>84</v>
      </c>
    </row>
    <row r="791" spans="4:4" x14ac:dyDescent="0.45">
      <c r="D791" t="s">
        <v>85</v>
      </c>
    </row>
    <row r="792" spans="4:4" x14ac:dyDescent="0.45">
      <c r="D792" t="s">
        <v>393</v>
      </c>
    </row>
    <row r="793" spans="4:4" x14ac:dyDescent="0.45">
      <c r="D793" t="s">
        <v>87</v>
      </c>
    </row>
    <row r="794" spans="4:4" x14ac:dyDescent="0.45">
      <c r="D794" t="s">
        <v>88</v>
      </c>
    </row>
    <row r="795" spans="4:4" x14ac:dyDescent="0.45">
      <c r="D795" t="s">
        <v>66</v>
      </c>
    </row>
    <row r="796" spans="4:4" x14ac:dyDescent="0.45">
      <c r="D796" t="s">
        <v>394</v>
      </c>
    </row>
    <row r="797" spans="4:4" x14ac:dyDescent="0.45">
      <c r="D797" t="s">
        <v>395</v>
      </c>
    </row>
    <row r="798" spans="4:4" x14ac:dyDescent="0.45">
      <c r="D798" t="s">
        <v>396</v>
      </c>
    </row>
    <row r="799" spans="4:4" x14ac:dyDescent="0.45">
      <c r="D799" t="s">
        <v>69</v>
      </c>
    </row>
    <row r="800" spans="4:4" x14ac:dyDescent="0.45">
      <c r="D800" t="s">
        <v>397</v>
      </c>
    </row>
    <row r="801" spans="4:4" x14ac:dyDescent="0.45">
      <c r="D801" t="s">
        <v>132</v>
      </c>
    </row>
    <row r="802" spans="4:4" x14ac:dyDescent="0.45">
      <c r="D802" t="s">
        <v>398</v>
      </c>
    </row>
    <row r="803" spans="4:4" x14ac:dyDescent="0.45">
      <c r="D803" t="s">
        <v>134</v>
      </c>
    </row>
    <row r="804" spans="4:4" x14ac:dyDescent="0.45">
      <c r="D804" t="s">
        <v>399</v>
      </c>
    </row>
    <row r="805" spans="4:4" x14ac:dyDescent="0.45">
      <c r="D805" t="s">
        <v>84</v>
      </c>
    </row>
    <row r="806" spans="4:4" x14ac:dyDescent="0.45">
      <c r="D806" t="s">
        <v>85</v>
      </c>
    </row>
    <row r="807" spans="4:4" x14ac:dyDescent="0.45">
      <c r="D807" t="s">
        <v>400</v>
      </c>
    </row>
    <row r="808" spans="4:4" x14ac:dyDescent="0.45">
      <c r="D808" t="s">
        <v>87</v>
      </c>
    </row>
    <row r="809" spans="4:4" x14ac:dyDescent="0.45">
      <c r="D809" t="s">
        <v>88</v>
      </c>
    </row>
    <row r="810" spans="4:4" x14ac:dyDescent="0.45">
      <c r="D810" t="s">
        <v>66</v>
      </c>
    </row>
    <row r="811" spans="4:4" x14ac:dyDescent="0.45">
      <c r="D811" t="s">
        <v>401</v>
      </c>
    </row>
    <row r="812" spans="4:4" x14ac:dyDescent="0.45">
      <c r="D812" t="s">
        <v>402</v>
      </c>
    </row>
    <row r="813" spans="4:4" x14ac:dyDescent="0.45">
      <c r="D813" t="s">
        <v>403</v>
      </c>
    </row>
    <row r="814" spans="4:4" x14ac:dyDescent="0.45">
      <c r="D814" t="s">
        <v>69</v>
      </c>
    </row>
    <row r="815" spans="4:4" x14ac:dyDescent="0.45">
      <c r="D815" t="s">
        <v>404</v>
      </c>
    </row>
    <row r="816" spans="4:4" x14ac:dyDescent="0.45">
      <c r="D816" t="s">
        <v>132</v>
      </c>
    </row>
    <row r="817" spans="4:4" x14ac:dyDescent="0.45">
      <c r="D817" t="s">
        <v>280</v>
      </c>
    </row>
    <row r="818" spans="4:4" x14ac:dyDescent="0.45">
      <c r="D818" t="s">
        <v>281</v>
      </c>
    </row>
    <row r="819" spans="4:4" x14ac:dyDescent="0.45">
      <c r="D819" t="s">
        <v>134</v>
      </c>
    </row>
    <row r="820" spans="4:4" x14ac:dyDescent="0.45">
      <c r="D820" t="s">
        <v>201</v>
      </c>
    </row>
    <row r="821" spans="4:4" x14ac:dyDescent="0.45">
      <c r="D821" t="s">
        <v>84</v>
      </c>
    </row>
    <row r="822" spans="4:4" x14ac:dyDescent="0.45">
      <c r="D822" t="s">
        <v>85</v>
      </c>
    </row>
    <row r="823" spans="4:4" x14ac:dyDescent="0.45">
      <c r="D823" t="s">
        <v>282</v>
      </c>
    </row>
    <row r="824" spans="4:4" x14ac:dyDescent="0.45">
      <c r="D824" t="s">
        <v>87</v>
      </c>
    </row>
    <row r="825" spans="4:4" x14ac:dyDescent="0.45">
      <c r="D825" t="s">
        <v>88</v>
      </c>
    </row>
    <row r="826" spans="4:4" x14ac:dyDescent="0.45">
      <c r="D826" t="s">
        <v>66</v>
      </c>
    </row>
    <row r="827" spans="4:4" x14ac:dyDescent="0.45">
      <c r="D827" t="s">
        <v>405</v>
      </c>
    </row>
    <row r="828" spans="4:4" x14ac:dyDescent="0.45">
      <c r="D828" t="s">
        <v>406</v>
      </c>
    </row>
    <row r="829" spans="4:4" x14ac:dyDescent="0.45">
      <c r="D829" t="s">
        <v>407</v>
      </c>
    </row>
    <row r="830" spans="4:4" x14ac:dyDescent="0.45">
      <c r="D830" t="s">
        <v>69</v>
      </c>
    </row>
    <row r="831" spans="4:4" x14ac:dyDescent="0.45">
      <c r="D831" t="s">
        <v>408</v>
      </c>
    </row>
    <row r="832" spans="4:4" x14ac:dyDescent="0.45">
      <c r="D832" t="s">
        <v>132</v>
      </c>
    </row>
    <row r="833" spans="4:4" x14ac:dyDescent="0.45">
      <c r="D833" t="s">
        <v>409</v>
      </c>
    </row>
    <row r="834" spans="4:4" x14ac:dyDescent="0.45">
      <c r="D834" t="s">
        <v>410</v>
      </c>
    </row>
    <row r="835" spans="4:4" x14ac:dyDescent="0.45">
      <c r="D835" t="s">
        <v>134</v>
      </c>
    </row>
    <row r="836" spans="4:4" x14ac:dyDescent="0.45">
      <c r="D836" t="s">
        <v>411</v>
      </c>
    </row>
    <row r="837" spans="4:4" x14ac:dyDescent="0.45">
      <c r="D837" t="s">
        <v>84</v>
      </c>
    </row>
    <row r="838" spans="4:4" x14ac:dyDescent="0.45">
      <c r="D838" t="s">
        <v>85</v>
      </c>
    </row>
    <row r="839" spans="4:4" x14ac:dyDescent="0.45">
      <c r="D839" t="s">
        <v>412</v>
      </c>
    </row>
    <row r="840" spans="4:4" x14ac:dyDescent="0.45">
      <c r="D840" t="s">
        <v>87</v>
      </c>
    </row>
    <row r="841" spans="4:4" x14ac:dyDescent="0.45">
      <c r="D841" t="s">
        <v>88</v>
      </c>
    </row>
    <row r="842" spans="4:4" x14ac:dyDescent="0.45">
      <c r="D842" t="s">
        <v>66</v>
      </c>
    </row>
    <row r="843" spans="4:4" x14ac:dyDescent="0.45">
      <c r="D843" t="s">
        <v>413</v>
      </c>
    </row>
    <row r="844" spans="4:4" x14ac:dyDescent="0.45">
      <c r="D844" t="s">
        <v>414</v>
      </c>
    </row>
    <row r="845" spans="4:4" x14ac:dyDescent="0.45">
      <c r="D845" t="s">
        <v>415</v>
      </c>
    </row>
    <row r="846" spans="4:4" x14ac:dyDescent="0.45">
      <c r="D846" t="s">
        <v>69</v>
      </c>
    </row>
    <row r="847" spans="4:4" x14ac:dyDescent="0.45">
      <c r="D847" t="s">
        <v>416</v>
      </c>
    </row>
    <row r="848" spans="4:4" x14ac:dyDescent="0.45">
      <c r="D848" t="s">
        <v>132</v>
      </c>
    </row>
    <row r="849" spans="4:4" x14ac:dyDescent="0.45">
      <c r="D849" t="s">
        <v>417</v>
      </c>
    </row>
    <row r="850" spans="4:4" x14ac:dyDescent="0.45">
      <c r="D850" t="s">
        <v>418</v>
      </c>
    </row>
    <row r="851" spans="4:4" x14ac:dyDescent="0.45">
      <c r="D851" t="s">
        <v>134</v>
      </c>
    </row>
    <row r="852" spans="4:4" x14ac:dyDescent="0.45">
      <c r="D852" t="s">
        <v>179</v>
      </c>
    </row>
    <row r="853" spans="4:4" x14ac:dyDescent="0.45">
      <c r="D853" t="s">
        <v>84</v>
      </c>
    </row>
    <row r="854" spans="4:4" x14ac:dyDescent="0.45">
      <c r="D854" t="s">
        <v>85</v>
      </c>
    </row>
    <row r="855" spans="4:4" x14ac:dyDescent="0.45">
      <c r="D855" t="s">
        <v>419</v>
      </c>
    </row>
    <row r="856" spans="4:4" x14ac:dyDescent="0.45">
      <c r="D856" t="s">
        <v>87</v>
      </c>
    </row>
    <row r="857" spans="4:4" x14ac:dyDescent="0.45">
      <c r="D857" t="s">
        <v>88</v>
      </c>
    </row>
    <row r="858" spans="4:4" x14ac:dyDescent="0.45">
      <c r="D858" t="s">
        <v>66</v>
      </c>
    </row>
    <row r="859" spans="4:4" x14ac:dyDescent="0.45">
      <c r="D859" t="s">
        <v>420</v>
      </c>
    </row>
    <row r="860" spans="4:4" x14ac:dyDescent="0.45">
      <c r="D860" t="s">
        <v>421</v>
      </c>
    </row>
    <row r="861" spans="4:4" x14ac:dyDescent="0.45">
      <c r="D861" t="s">
        <v>69</v>
      </c>
    </row>
    <row r="862" spans="4:4" x14ac:dyDescent="0.45">
      <c r="D862" t="s">
        <v>422</v>
      </c>
    </row>
    <row r="863" spans="4:4" x14ac:dyDescent="0.45">
      <c r="D863" t="s">
        <v>132</v>
      </c>
    </row>
    <row r="864" spans="4:4" x14ac:dyDescent="0.45">
      <c r="D864" t="s">
        <v>199</v>
      </c>
    </row>
    <row r="865" spans="4:4" x14ac:dyDescent="0.45">
      <c r="D865" t="s">
        <v>200</v>
      </c>
    </row>
    <row r="866" spans="4:4" x14ac:dyDescent="0.45">
      <c r="D866" t="s">
        <v>134</v>
      </c>
    </row>
    <row r="867" spans="4:4" x14ac:dyDescent="0.45">
      <c r="D867" t="s">
        <v>201</v>
      </c>
    </row>
    <row r="868" spans="4:4" x14ac:dyDescent="0.45">
      <c r="D868" t="s">
        <v>84</v>
      </c>
    </row>
    <row r="869" spans="4:4" x14ac:dyDescent="0.45">
      <c r="D869" t="s">
        <v>85</v>
      </c>
    </row>
    <row r="870" spans="4:4" x14ac:dyDescent="0.45">
      <c r="D870" t="s">
        <v>202</v>
      </c>
    </row>
    <row r="871" spans="4:4" x14ac:dyDescent="0.45">
      <c r="D871" t="s">
        <v>87</v>
      </c>
    </row>
    <row r="872" spans="4:4" x14ac:dyDescent="0.45">
      <c r="D872" t="s">
        <v>88</v>
      </c>
    </row>
    <row r="873" spans="4:4" x14ac:dyDescent="0.45">
      <c r="D873" t="s">
        <v>66</v>
      </c>
    </row>
    <row r="874" spans="4:4" x14ac:dyDescent="0.45">
      <c r="D874" t="s">
        <v>423</v>
      </c>
    </row>
    <row r="875" spans="4:4" x14ac:dyDescent="0.45">
      <c r="D875" t="s">
        <v>424</v>
      </c>
    </row>
    <row r="876" spans="4:4" x14ac:dyDescent="0.45">
      <c r="D876" t="s">
        <v>69</v>
      </c>
    </row>
    <row r="877" spans="4:4" x14ac:dyDescent="0.45">
      <c r="D877" t="s">
        <v>425</v>
      </c>
    </row>
    <row r="878" spans="4:4" x14ac:dyDescent="0.45">
      <c r="D878" t="s">
        <v>132</v>
      </c>
    </row>
    <row r="879" spans="4:4" x14ac:dyDescent="0.45">
      <c r="D879" t="s">
        <v>426</v>
      </c>
    </row>
    <row r="880" spans="4:4" x14ac:dyDescent="0.45">
      <c r="D880" t="s">
        <v>427</v>
      </c>
    </row>
    <row r="881" spans="4:4" x14ac:dyDescent="0.45">
      <c r="D881" t="s">
        <v>134</v>
      </c>
    </row>
    <row r="882" spans="4:4" x14ac:dyDescent="0.45">
      <c r="D882" t="s">
        <v>239</v>
      </c>
    </row>
    <row r="883" spans="4:4" x14ac:dyDescent="0.45">
      <c r="D883" t="s">
        <v>84</v>
      </c>
    </row>
    <row r="884" spans="4:4" x14ac:dyDescent="0.45">
      <c r="D884" t="s">
        <v>85</v>
      </c>
    </row>
    <row r="885" spans="4:4" x14ac:dyDescent="0.45">
      <c r="D885" t="s">
        <v>428</v>
      </c>
    </row>
    <row r="886" spans="4:4" x14ac:dyDescent="0.45">
      <c r="D886" t="s">
        <v>87</v>
      </c>
    </row>
    <row r="887" spans="4:4" x14ac:dyDescent="0.45">
      <c r="D887" t="s">
        <v>88</v>
      </c>
    </row>
    <row r="888" spans="4:4" x14ac:dyDescent="0.45">
      <c r="D888" t="s">
        <v>66</v>
      </c>
    </row>
    <row r="889" spans="4:4" x14ac:dyDescent="0.45">
      <c r="D889" t="s">
        <v>429</v>
      </c>
    </row>
    <row r="890" spans="4:4" x14ac:dyDescent="0.45">
      <c r="D890" t="s">
        <v>430</v>
      </c>
    </row>
    <row r="891" spans="4:4" x14ac:dyDescent="0.45">
      <c r="D891" t="s">
        <v>431</v>
      </c>
    </row>
    <row r="892" spans="4:4" x14ac:dyDescent="0.45">
      <c r="D892" t="s">
        <v>432</v>
      </c>
    </row>
    <row r="893" spans="4:4" x14ac:dyDescent="0.45">
      <c r="D893" t="s">
        <v>69</v>
      </c>
    </row>
    <row r="894" spans="4:4" x14ac:dyDescent="0.45">
      <c r="D894" t="s">
        <v>433</v>
      </c>
    </row>
    <row r="895" spans="4:4" x14ac:dyDescent="0.45">
      <c r="D895" t="s">
        <v>132</v>
      </c>
    </row>
    <row r="896" spans="4:4" x14ac:dyDescent="0.45">
      <c r="D896" t="s">
        <v>434</v>
      </c>
    </row>
    <row r="897" spans="4:4" x14ac:dyDescent="0.45">
      <c r="D897" t="s">
        <v>435</v>
      </c>
    </row>
    <row r="898" spans="4:4" x14ac:dyDescent="0.45">
      <c r="D898" t="s">
        <v>134</v>
      </c>
    </row>
    <row r="899" spans="4:4" x14ac:dyDescent="0.45">
      <c r="D899" t="s">
        <v>436</v>
      </c>
    </row>
    <row r="900" spans="4:4" x14ac:dyDescent="0.45">
      <c r="D900" t="s">
        <v>84</v>
      </c>
    </row>
    <row r="901" spans="4:4" x14ac:dyDescent="0.45">
      <c r="D901" t="s">
        <v>85</v>
      </c>
    </row>
    <row r="902" spans="4:4" x14ac:dyDescent="0.45">
      <c r="D902" t="s">
        <v>437</v>
      </c>
    </row>
    <row r="903" spans="4:4" x14ac:dyDescent="0.45">
      <c r="D903" t="s">
        <v>87</v>
      </c>
    </row>
    <row r="904" spans="4:4" x14ac:dyDescent="0.45">
      <c r="D904" t="s">
        <v>88</v>
      </c>
    </row>
    <row r="905" spans="4:4" x14ac:dyDescent="0.45">
      <c r="D905" t="s">
        <v>66</v>
      </c>
    </row>
    <row r="906" spans="4:4" x14ac:dyDescent="0.45">
      <c r="D906" t="s">
        <v>438</v>
      </c>
    </row>
    <row r="907" spans="4:4" x14ac:dyDescent="0.45">
      <c r="D907" t="s">
        <v>439</v>
      </c>
    </row>
    <row r="908" spans="4:4" x14ac:dyDescent="0.45">
      <c r="D908" t="s">
        <v>440</v>
      </c>
    </row>
    <row r="909" spans="4:4" x14ac:dyDescent="0.45">
      <c r="D909" t="s">
        <v>69</v>
      </c>
    </row>
    <row r="910" spans="4:4" x14ac:dyDescent="0.45">
      <c r="D910" t="s">
        <v>441</v>
      </c>
    </row>
    <row r="911" spans="4:4" x14ac:dyDescent="0.45">
      <c r="D911" t="s">
        <v>132</v>
      </c>
    </row>
    <row r="912" spans="4:4" x14ac:dyDescent="0.45">
      <c r="D912" t="s">
        <v>442</v>
      </c>
    </row>
    <row r="913" spans="4:4" x14ac:dyDescent="0.45">
      <c r="D913" t="s">
        <v>443</v>
      </c>
    </row>
    <row r="914" spans="4:4" x14ac:dyDescent="0.45">
      <c r="D914" t="s">
        <v>134</v>
      </c>
    </row>
    <row r="915" spans="4:4" x14ac:dyDescent="0.45">
      <c r="D915" t="s">
        <v>179</v>
      </c>
    </row>
    <row r="916" spans="4:4" x14ac:dyDescent="0.45">
      <c r="D916" t="s">
        <v>84</v>
      </c>
    </row>
    <row r="917" spans="4:4" x14ac:dyDescent="0.45">
      <c r="D917" t="s">
        <v>85</v>
      </c>
    </row>
    <row r="918" spans="4:4" x14ac:dyDescent="0.45">
      <c r="D918" t="s">
        <v>444</v>
      </c>
    </row>
    <row r="919" spans="4:4" x14ac:dyDescent="0.45">
      <c r="D919" t="s">
        <v>87</v>
      </c>
    </row>
    <row r="920" spans="4:4" x14ac:dyDescent="0.45">
      <c r="D920" t="s">
        <v>88</v>
      </c>
    </row>
    <row r="921" spans="4:4" x14ac:dyDescent="0.45">
      <c r="D921" t="s">
        <v>66</v>
      </c>
    </row>
    <row r="922" spans="4:4" x14ac:dyDescent="0.45">
      <c r="D922" t="s">
        <v>445</v>
      </c>
    </row>
    <row r="923" spans="4:4" x14ac:dyDescent="0.45">
      <c r="D923" t="s">
        <v>446</v>
      </c>
    </row>
    <row r="924" spans="4:4" x14ac:dyDescent="0.45">
      <c r="D924" t="s">
        <v>69</v>
      </c>
    </row>
    <row r="925" spans="4:4" x14ac:dyDescent="0.45">
      <c r="D925" t="s">
        <v>447</v>
      </c>
    </row>
    <row r="926" spans="4:4" x14ac:dyDescent="0.45">
      <c r="D926" t="s">
        <v>132</v>
      </c>
    </row>
    <row r="927" spans="4:4" x14ac:dyDescent="0.45">
      <c r="D927" t="s">
        <v>244</v>
      </c>
    </row>
    <row r="928" spans="4:4" x14ac:dyDescent="0.45">
      <c r="D928" t="s">
        <v>245</v>
      </c>
    </row>
    <row r="929" spans="4:4" x14ac:dyDescent="0.45">
      <c r="D929" t="s">
        <v>134</v>
      </c>
    </row>
    <row r="930" spans="4:4" x14ac:dyDescent="0.45">
      <c r="D930" t="s">
        <v>201</v>
      </c>
    </row>
    <row r="931" spans="4:4" x14ac:dyDescent="0.45">
      <c r="D931" t="s">
        <v>84</v>
      </c>
    </row>
    <row r="932" spans="4:4" x14ac:dyDescent="0.45">
      <c r="D932" t="s">
        <v>85</v>
      </c>
    </row>
    <row r="933" spans="4:4" x14ac:dyDescent="0.45">
      <c r="D933" t="s">
        <v>246</v>
      </c>
    </row>
    <row r="934" spans="4:4" x14ac:dyDescent="0.45">
      <c r="D934" t="s">
        <v>87</v>
      </c>
    </row>
    <row r="935" spans="4:4" x14ac:dyDescent="0.45">
      <c r="D935" t="s">
        <v>88</v>
      </c>
    </row>
    <row r="936" spans="4:4" x14ac:dyDescent="0.45">
      <c r="D936" t="s">
        <v>66</v>
      </c>
    </row>
    <row r="937" spans="4:4" x14ac:dyDescent="0.45">
      <c r="D937" t="s">
        <v>448</v>
      </c>
    </row>
    <row r="938" spans="4:4" x14ac:dyDescent="0.45">
      <c r="D938" t="s">
        <v>449</v>
      </c>
    </row>
    <row r="939" spans="4:4" x14ac:dyDescent="0.45">
      <c r="D939" t="s">
        <v>450</v>
      </c>
    </row>
    <row r="940" spans="4:4" x14ac:dyDescent="0.45">
      <c r="D940" t="s">
        <v>69</v>
      </c>
    </row>
    <row r="941" spans="4:4" x14ac:dyDescent="0.45">
      <c r="D941" t="s">
        <v>451</v>
      </c>
    </row>
    <row r="942" spans="4:4" x14ac:dyDescent="0.45">
      <c r="D942" t="s">
        <v>132</v>
      </c>
    </row>
    <row r="943" spans="4:4" x14ac:dyDescent="0.45">
      <c r="D943" t="s">
        <v>452</v>
      </c>
    </row>
    <row r="944" spans="4:4" x14ac:dyDescent="0.45">
      <c r="D944" t="s">
        <v>453</v>
      </c>
    </row>
    <row r="945" spans="4:4" x14ac:dyDescent="0.45">
      <c r="D945" t="s">
        <v>134</v>
      </c>
    </row>
    <row r="946" spans="4:4" x14ac:dyDescent="0.45">
      <c r="D946" t="s">
        <v>179</v>
      </c>
    </row>
    <row r="947" spans="4:4" x14ac:dyDescent="0.45">
      <c r="D947" t="s">
        <v>84</v>
      </c>
    </row>
    <row r="948" spans="4:4" x14ac:dyDescent="0.45">
      <c r="D948" t="s">
        <v>85</v>
      </c>
    </row>
    <row r="949" spans="4:4" x14ac:dyDescent="0.45">
      <c r="D949" t="s">
        <v>454</v>
      </c>
    </row>
    <row r="950" spans="4:4" x14ac:dyDescent="0.45">
      <c r="D950" t="s">
        <v>87</v>
      </c>
    </row>
    <row r="951" spans="4:4" x14ac:dyDescent="0.45">
      <c r="D951" t="s">
        <v>88</v>
      </c>
    </row>
    <row r="952" spans="4:4" x14ac:dyDescent="0.45">
      <c r="D952" t="s">
        <v>66</v>
      </c>
    </row>
    <row r="953" spans="4:4" x14ac:dyDescent="0.45">
      <c r="D953" t="s">
        <v>455</v>
      </c>
    </row>
    <row r="954" spans="4:4" x14ac:dyDescent="0.45">
      <c r="D954" t="s">
        <v>456</v>
      </c>
    </row>
    <row r="955" spans="4:4" x14ac:dyDescent="0.45">
      <c r="D955" t="s">
        <v>69</v>
      </c>
    </row>
    <row r="956" spans="4:4" x14ac:dyDescent="0.45">
      <c r="D956" t="s">
        <v>457</v>
      </c>
    </row>
    <row r="957" spans="4:4" x14ac:dyDescent="0.45">
      <c r="D957" t="s">
        <v>132</v>
      </c>
    </row>
    <row r="958" spans="4:4" x14ac:dyDescent="0.45">
      <c r="D958" t="s">
        <v>267</v>
      </c>
    </row>
    <row r="959" spans="4:4" x14ac:dyDescent="0.45">
      <c r="D959" t="s">
        <v>268</v>
      </c>
    </row>
    <row r="960" spans="4:4" x14ac:dyDescent="0.45">
      <c r="D960" t="s">
        <v>134</v>
      </c>
    </row>
    <row r="961" spans="4:4" x14ac:dyDescent="0.45">
      <c r="D961" t="s">
        <v>201</v>
      </c>
    </row>
    <row r="962" spans="4:4" x14ac:dyDescent="0.45">
      <c r="D962" t="s">
        <v>84</v>
      </c>
    </row>
    <row r="963" spans="4:4" x14ac:dyDescent="0.45">
      <c r="D963" t="s">
        <v>85</v>
      </c>
    </row>
    <row r="964" spans="4:4" x14ac:dyDescent="0.45">
      <c r="D964" t="s">
        <v>269</v>
      </c>
    </row>
    <row r="965" spans="4:4" x14ac:dyDescent="0.45">
      <c r="D965" t="s">
        <v>87</v>
      </c>
    </row>
    <row r="966" spans="4:4" x14ac:dyDescent="0.45">
      <c r="D966" t="s">
        <v>88</v>
      </c>
    </row>
    <row r="967" spans="4:4" x14ac:dyDescent="0.45">
      <c r="D967" t="s">
        <v>66</v>
      </c>
    </row>
    <row r="968" spans="4:4" x14ac:dyDescent="0.45">
      <c r="D968" t="s">
        <v>458</v>
      </c>
    </row>
    <row r="969" spans="4:4" x14ac:dyDescent="0.45">
      <c r="D969" t="s">
        <v>459</v>
      </c>
    </row>
    <row r="970" spans="4:4" x14ac:dyDescent="0.45">
      <c r="D970" t="s">
        <v>460</v>
      </c>
    </row>
    <row r="971" spans="4:4" x14ac:dyDescent="0.45">
      <c r="D971" t="s">
        <v>69</v>
      </c>
    </row>
    <row r="972" spans="4:4" x14ac:dyDescent="0.45">
      <c r="D972" t="s">
        <v>461</v>
      </c>
    </row>
    <row r="973" spans="4:4" x14ac:dyDescent="0.45">
      <c r="D973" t="s">
        <v>132</v>
      </c>
    </row>
    <row r="974" spans="4:4" x14ac:dyDescent="0.45">
      <c r="D974" t="s">
        <v>462</v>
      </c>
    </row>
    <row r="975" spans="4:4" x14ac:dyDescent="0.45">
      <c r="D975" t="s">
        <v>463</v>
      </c>
    </row>
    <row r="976" spans="4:4" x14ac:dyDescent="0.45">
      <c r="D976" t="s">
        <v>134</v>
      </c>
    </row>
    <row r="977" spans="4:4" x14ac:dyDescent="0.45">
      <c r="D977" t="s">
        <v>179</v>
      </c>
    </row>
    <row r="978" spans="4:4" x14ac:dyDescent="0.45">
      <c r="D978" t="s">
        <v>84</v>
      </c>
    </row>
    <row r="979" spans="4:4" x14ac:dyDescent="0.45">
      <c r="D979" t="s">
        <v>85</v>
      </c>
    </row>
    <row r="980" spans="4:4" x14ac:dyDescent="0.45">
      <c r="D980" t="s">
        <v>464</v>
      </c>
    </row>
    <row r="981" spans="4:4" x14ac:dyDescent="0.45">
      <c r="D981" t="s">
        <v>87</v>
      </c>
    </row>
    <row r="982" spans="4:4" x14ac:dyDescent="0.45">
      <c r="D982" t="s">
        <v>88</v>
      </c>
    </row>
    <row r="983" spans="4:4" x14ac:dyDescent="0.45">
      <c r="D983" t="s">
        <v>66</v>
      </c>
    </row>
    <row r="984" spans="4:4" x14ac:dyDescent="0.45">
      <c r="D984" t="s">
        <v>465</v>
      </c>
    </row>
    <row r="985" spans="4:4" x14ac:dyDescent="0.45">
      <c r="D985" t="s">
        <v>466</v>
      </c>
    </row>
    <row r="986" spans="4:4" x14ac:dyDescent="0.45">
      <c r="D986" t="s">
        <v>467</v>
      </c>
    </row>
    <row r="987" spans="4:4" x14ac:dyDescent="0.45">
      <c r="D987" t="s">
        <v>69</v>
      </c>
    </row>
    <row r="988" spans="4:4" x14ac:dyDescent="0.45">
      <c r="D988" t="s">
        <v>468</v>
      </c>
    </row>
    <row r="989" spans="4:4" x14ac:dyDescent="0.45">
      <c r="D989" t="s">
        <v>132</v>
      </c>
    </row>
    <row r="990" spans="4:4" x14ac:dyDescent="0.45">
      <c r="D990" t="s">
        <v>469</v>
      </c>
    </row>
    <row r="991" spans="4:4" x14ac:dyDescent="0.45">
      <c r="D991" t="s">
        <v>134</v>
      </c>
    </row>
    <row r="992" spans="4:4" x14ac:dyDescent="0.45">
      <c r="D992" t="s">
        <v>411</v>
      </c>
    </row>
    <row r="993" spans="4:4" x14ac:dyDescent="0.45">
      <c r="D993" t="s">
        <v>84</v>
      </c>
    </row>
    <row r="994" spans="4:4" x14ac:dyDescent="0.45">
      <c r="D994" t="s">
        <v>85</v>
      </c>
    </row>
    <row r="995" spans="4:4" x14ac:dyDescent="0.45">
      <c r="D995" t="s">
        <v>470</v>
      </c>
    </row>
    <row r="996" spans="4:4" x14ac:dyDescent="0.45">
      <c r="D996" t="s">
        <v>87</v>
      </c>
    </row>
    <row r="997" spans="4:4" x14ac:dyDescent="0.45">
      <c r="D997" t="s">
        <v>88</v>
      </c>
    </row>
    <row r="998" spans="4:4" x14ac:dyDescent="0.45">
      <c r="D998" t="s">
        <v>66</v>
      </c>
    </row>
    <row r="999" spans="4:4" x14ac:dyDescent="0.45">
      <c r="D999" t="s">
        <v>471</v>
      </c>
    </row>
    <row r="1000" spans="4:4" x14ac:dyDescent="0.45">
      <c r="D1000" t="s">
        <v>472</v>
      </c>
    </row>
    <row r="1001" spans="4:4" x14ac:dyDescent="0.45">
      <c r="D1001" t="s">
        <v>473</v>
      </c>
    </row>
    <row r="1002" spans="4:4" x14ac:dyDescent="0.45">
      <c r="D1002" t="s">
        <v>69</v>
      </c>
    </row>
    <row r="1003" spans="4:4" x14ac:dyDescent="0.45">
      <c r="D1003" t="s">
        <v>474</v>
      </c>
    </row>
    <row r="1004" spans="4:4" x14ac:dyDescent="0.45">
      <c r="D1004" t="s">
        <v>132</v>
      </c>
    </row>
    <row r="1005" spans="4:4" x14ac:dyDescent="0.45">
      <c r="D1005" t="s">
        <v>475</v>
      </c>
    </row>
    <row r="1006" spans="4:4" x14ac:dyDescent="0.45">
      <c r="D1006" t="s">
        <v>476</v>
      </c>
    </row>
    <row r="1007" spans="4:4" x14ac:dyDescent="0.45">
      <c r="D1007" t="s">
        <v>134</v>
      </c>
    </row>
    <row r="1008" spans="4:4" x14ac:dyDescent="0.45">
      <c r="D1008" t="s">
        <v>327</v>
      </c>
    </row>
    <row r="1009" spans="4:4" x14ac:dyDescent="0.45">
      <c r="D1009" t="s">
        <v>84</v>
      </c>
    </row>
    <row r="1010" spans="4:4" x14ac:dyDescent="0.45">
      <c r="D1010" t="s">
        <v>85</v>
      </c>
    </row>
    <row r="1011" spans="4:4" x14ac:dyDescent="0.45">
      <c r="D1011" t="s">
        <v>477</v>
      </c>
    </row>
    <row r="1012" spans="4:4" x14ac:dyDescent="0.45">
      <c r="D1012" t="s">
        <v>87</v>
      </c>
    </row>
    <row r="1013" spans="4:4" x14ac:dyDescent="0.45">
      <c r="D1013" t="s">
        <v>88</v>
      </c>
    </row>
    <row r="1014" spans="4:4" x14ac:dyDescent="0.45">
      <c r="D1014" t="s">
        <v>66</v>
      </c>
    </row>
    <row r="1015" spans="4:4" x14ac:dyDescent="0.45">
      <c r="D1015" t="s">
        <v>478</v>
      </c>
    </row>
    <row r="1016" spans="4:4" x14ac:dyDescent="0.45">
      <c r="D1016" t="s">
        <v>479</v>
      </c>
    </row>
    <row r="1017" spans="4:4" x14ac:dyDescent="0.45">
      <c r="D1017" t="s">
        <v>480</v>
      </c>
    </row>
    <row r="1018" spans="4:4" x14ac:dyDescent="0.45">
      <c r="D1018" t="s">
        <v>69</v>
      </c>
    </row>
    <row r="1019" spans="4:4" x14ac:dyDescent="0.45">
      <c r="D1019" t="s">
        <v>481</v>
      </c>
    </row>
    <row r="1020" spans="4:4" x14ac:dyDescent="0.45">
      <c r="D1020" t="s">
        <v>132</v>
      </c>
    </row>
    <row r="1021" spans="4:4" x14ac:dyDescent="0.45">
      <c r="D1021" t="s">
        <v>391</v>
      </c>
    </row>
    <row r="1022" spans="4:4" x14ac:dyDescent="0.45">
      <c r="D1022" t="s">
        <v>392</v>
      </c>
    </row>
    <row r="1023" spans="4:4" x14ac:dyDescent="0.45">
      <c r="D1023" t="s">
        <v>134</v>
      </c>
    </row>
    <row r="1024" spans="4:4" x14ac:dyDescent="0.45">
      <c r="D1024" t="s">
        <v>179</v>
      </c>
    </row>
    <row r="1025" spans="4:4" x14ac:dyDescent="0.45">
      <c r="D1025" t="s">
        <v>84</v>
      </c>
    </row>
    <row r="1026" spans="4:4" x14ac:dyDescent="0.45">
      <c r="D1026" t="s">
        <v>85</v>
      </c>
    </row>
    <row r="1027" spans="4:4" x14ac:dyDescent="0.45">
      <c r="D1027" t="s">
        <v>393</v>
      </c>
    </row>
    <row r="1028" spans="4:4" x14ac:dyDescent="0.45">
      <c r="D1028" t="s">
        <v>87</v>
      </c>
    </row>
    <row r="1029" spans="4:4" x14ac:dyDescent="0.45">
      <c r="D1029" t="s">
        <v>88</v>
      </c>
    </row>
    <row r="1030" spans="4:4" x14ac:dyDescent="0.45">
      <c r="D1030" t="s">
        <v>66</v>
      </c>
    </row>
    <row r="1031" spans="4:4" x14ac:dyDescent="0.45">
      <c r="D1031" t="s">
        <v>368</v>
      </c>
    </row>
    <row r="1032" spans="4:4" x14ac:dyDescent="0.45">
      <c r="D1032" t="s">
        <v>482</v>
      </c>
    </row>
    <row r="1033" spans="4:4" x14ac:dyDescent="0.45">
      <c r="D1033" t="s">
        <v>370</v>
      </c>
    </row>
    <row r="1034" spans="4:4" x14ac:dyDescent="0.45">
      <c r="D1034" t="s">
        <v>483</v>
      </c>
    </row>
    <row r="1035" spans="4:4" x14ac:dyDescent="0.45">
      <c r="D1035" t="s">
        <v>484</v>
      </c>
    </row>
    <row r="1036" spans="4:4" x14ac:dyDescent="0.45">
      <c r="D1036" t="s">
        <v>69</v>
      </c>
    </row>
    <row r="1037" spans="4:4" x14ac:dyDescent="0.45">
      <c r="D1037" t="s">
        <v>485</v>
      </c>
    </row>
    <row r="1038" spans="4:4" x14ac:dyDescent="0.45">
      <c r="D1038" t="s">
        <v>132</v>
      </c>
    </row>
    <row r="1039" spans="4:4" x14ac:dyDescent="0.45">
      <c r="D1039" t="s">
        <v>486</v>
      </c>
    </row>
    <row r="1040" spans="4:4" x14ac:dyDescent="0.45">
      <c r="D1040" t="s">
        <v>487</v>
      </c>
    </row>
    <row r="1041" spans="4:4" x14ac:dyDescent="0.45">
      <c r="D1041" t="s">
        <v>488</v>
      </c>
    </row>
    <row r="1042" spans="4:4" x14ac:dyDescent="0.45">
      <c r="D1042" t="s">
        <v>134</v>
      </c>
    </row>
    <row r="1043" spans="4:4" x14ac:dyDescent="0.45">
      <c r="D1043" t="s">
        <v>179</v>
      </c>
    </row>
    <row r="1044" spans="4:4" x14ac:dyDescent="0.45">
      <c r="D1044" t="s">
        <v>84</v>
      </c>
    </row>
    <row r="1045" spans="4:4" x14ac:dyDescent="0.45">
      <c r="D1045" t="s">
        <v>85</v>
      </c>
    </row>
    <row r="1046" spans="4:4" x14ac:dyDescent="0.45">
      <c r="D1046" t="s">
        <v>489</v>
      </c>
    </row>
    <row r="1047" spans="4:4" x14ac:dyDescent="0.45">
      <c r="D1047" t="s">
        <v>87</v>
      </c>
    </row>
    <row r="1048" spans="4:4" x14ac:dyDescent="0.45">
      <c r="D1048" t="s">
        <v>88</v>
      </c>
    </row>
    <row r="1049" spans="4:4" x14ac:dyDescent="0.45">
      <c r="D1049" t="s">
        <v>66</v>
      </c>
    </row>
    <row r="1050" spans="4:4" x14ac:dyDescent="0.45">
      <c r="D1050" t="s">
        <v>490</v>
      </c>
    </row>
    <row r="1051" spans="4:4" x14ac:dyDescent="0.45">
      <c r="D1051" t="s">
        <v>491</v>
      </c>
    </row>
    <row r="1052" spans="4:4" x14ac:dyDescent="0.45">
      <c r="D1052" t="s">
        <v>492</v>
      </c>
    </row>
    <row r="1053" spans="4:4" x14ac:dyDescent="0.45">
      <c r="D1053" t="s">
        <v>69</v>
      </c>
    </row>
    <row r="1054" spans="4:4" x14ac:dyDescent="0.45">
      <c r="D1054" t="s">
        <v>493</v>
      </c>
    </row>
    <row r="1055" spans="4:4" x14ac:dyDescent="0.45">
      <c r="D1055" t="s">
        <v>132</v>
      </c>
    </row>
    <row r="1056" spans="4:4" x14ac:dyDescent="0.45">
      <c r="D1056" t="s">
        <v>494</v>
      </c>
    </row>
    <row r="1057" spans="4:4" x14ac:dyDescent="0.45">
      <c r="D1057" t="s">
        <v>495</v>
      </c>
    </row>
    <row r="1058" spans="4:4" x14ac:dyDescent="0.45">
      <c r="D1058" t="s">
        <v>134</v>
      </c>
    </row>
    <row r="1059" spans="4:4" x14ac:dyDescent="0.45">
      <c r="D1059" t="s">
        <v>179</v>
      </c>
    </row>
    <row r="1060" spans="4:4" x14ac:dyDescent="0.45">
      <c r="D1060" t="s">
        <v>84</v>
      </c>
    </row>
    <row r="1061" spans="4:4" x14ac:dyDescent="0.45">
      <c r="D1061" t="s">
        <v>85</v>
      </c>
    </row>
    <row r="1062" spans="4:4" x14ac:dyDescent="0.45">
      <c r="D1062" t="s">
        <v>496</v>
      </c>
    </row>
    <row r="1063" spans="4:4" x14ac:dyDescent="0.45">
      <c r="D1063" t="s">
        <v>87</v>
      </c>
    </row>
    <row r="1064" spans="4:4" x14ac:dyDescent="0.45">
      <c r="D1064" t="s">
        <v>88</v>
      </c>
    </row>
    <row r="1065" spans="4:4" x14ac:dyDescent="0.45">
      <c r="D1065" t="s">
        <v>66</v>
      </c>
    </row>
    <row r="1066" spans="4:4" x14ac:dyDescent="0.45">
      <c r="D1066" t="s">
        <v>497</v>
      </c>
    </row>
    <row r="1067" spans="4:4" x14ac:dyDescent="0.45">
      <c r="D1067" t="s">
        <v>498</v>
      </c>
    </row>
    <row r="1068" spans="4:4" x14ac:dyDescent="0.45">
      <c r="D1068" t="s">
        <v>69</v>
      </c>
    </row>
    <row r="1069" spans="4:4" x14ac:dyDescent="0.45">
      <c r="D1069" t="s">
        <v>499</v>
      </c>
    </row>
    <row r="1070" spans="4:4" x14ac:dyDescent="0.45">
      <c r="D1070" t="s">
        <v>132</v>
      </c>
    </row>
    <row r="1071" spans="4:4" x14ac:dyDescent="0.45">
      <c r="D1071" t="s">
        <v>237</v>
      </c>
    </row>
    <row r="1072" spans="4:4" x14ac:dyDescent="0.45">
      <c r="D1072" t="s">
        <v>238</v>
      </c>
    </row>
    <row r="1073" spans="4:4" x14ac:dyDescent="0.45">
      <c r="D1073" t="s">
        <v>134</v>
      </c>
    </row>
    <row r="1074" spans="4:4" x14ac:dyDescent="0.45">
      <c r="D1074" t="s">
        <v>239</v>
      </c>
    </row>
    <row r="1075" spans="4:4" x14ac:dyDescent="0.45">
      <c r="D1075" t="s">
        <v>84</v>
      </c>
    </row>
    <row r="1076" spans="4:4" x14ac:dyDescent="0.45">
      <c r="D1076" t="s">
        <v>85</v>
      </c>
    </row>
    <row r="1077" spans="4:4" x14ac:dyDescent="0.45">
      <c r="D1077" t="s">
        <v>240</v>
      </c>
    </row>
    <row r="1078" spans="4:4" x14ac:dyDescent="0.45">
      <c r="D1078" t="s">
        <v>87</v>
      </c>
    </row>
    <row r="1079" spans="4:4" x14ac:dyDescent="0.45">
      <c r="D1079" t="s">
        <v>88</v>
      </c>
    </row>
    <row r="1080" spans="4:4" x14ac:dyDescent="0.45">
      <c r="D1080" t="s">
        <v>66</v>
      </c>
    </row>
    <row r="1081" spans="4:4" x14ac:dyDescent="0.45">
      <c r="D1081" t="s">
        <v>500</v>
      </c>
    </row>
    <row r="1082" spans="4:4" x14ac:dyDescent="0.45">
      <c r="D1082" t="s">
        <v>501</v>
      </c>
    </row>
    <row r="1083" spans="4:4" x14ac:dyDescent="0.45">
      <c r="D1083" t="s">
        <v>69</v>
      </c>
    </row>
    <row r="1084" spans="4:4" x14ac:dyDescent="0.45">
      <c r="D1084" t="s">
        <v>502</v>
      </c>
    </row>
    <row r="1085" spans="4:4" x14ac:dyDescent="0.45">
      <c r="D1085" t="s">
        <v>132</v>
      </c>
    </row>
    <row r="1086" spans="4:4" x14ac:dyDescent="0.45">
      <c r="D1086" t="s">
        <v>280</v>
      </c>
    </row>
    <row r="1087" spans="4:4" x14ac:dyDescent="0.45">
      <c r="D1087" t="s">
        <v>281</v>
      </c>
    </row>
    <row r="1088" spans="4:4" x14ac:dyDescent="0.45">
      <c r="D1088" t="s">
        <v>134</v>
      </c>
    </row>
    <row r="1089" spans="4:4" x14ac:dyDescent="0.45">
      <c r="D1089" t="s">
        <v>201</v>
      </c>
    </row>
    <row r="1090" spans="4:4" x14ac:dyDescent="0.45">
      <c r="D1090" t="s">
        <v>84</v>
      </c>
    </row>
    <row r="1091" spans="4:4" x14ac:dyDescent="0.45">
      <c r="D1091" t="s">
        <v>85</v>
      </c>
    </row>
    <row r="1092" spans="4:4" x14ac:dyDescent="0.45">
      <c r="D1092" t="s">
        <v>282</v>
      </c>
    </row>
    <row r="1093" spans="4:4" x14ac:dyDescent="0.45">
      <c r="D1093" t="s">
        <v>87</v>
      </c>
    </row>
    <row r="1094" spans="4:4" x14ac:dyDescent="0.45">
      <c r="D1094" t="s">
        <v>88</v>
      </c>
    </row>
    <row r="1095" spans="4:4" x14ac:dyDescent="0.45">
      <c r="D1095" t="s">
        <v>66</v>
      </c>
    </row>
    <row r="1096" spans="4:4" x14ac:dyDescent="0.45">
      <c r="D1096" t="s">
        <v>503</v>
      </c>
    </row>
    <row r="1097" spans="4:4" x14ac:dyDescent="0.45">
      <c r="D1097" t="s">
        <v>504</v>
      </c>
    </row>
    <row r="1098" spans="4:4" x14ac:dyDescent="0.45">
      <c r="D1098" t="s">
        <v>505</v>
      </c>
    </row>
    <row r="1099" spans="4:4" x14ac:dyDescent="0.45">
      <c r="D1099" t="s">
        <v>69</v>
      </c>
    </row>
    <row r="1100" spans="4:4" x14ac:dyDescent="0.45">
      <c r="D1100" t="s">
        <v>506</v>
      </c>
    </row>
    <row r="1101" spans="4:4" x14ac:dyDescent="0.45">
      <c r="D1101" t="s">
        <v>132</v>
      </c>
    </row>
    <row r="1102" spans="4:4" x14ac:dyDescent="0.45">
      <c r="D1102" t="s">
        <v>507</v>
      </c>
    </row>
    <row r="1103" spans="4:4" x14ac:dyDescent="0.45">
      <c r="D1103" t="s">
        <v>508</v>
      </c>
    </row>
    <row r="1104" spans="4:4" x14ac:dyDescent="0.45">
      <c r="D1104" t="s">
        <v>134</v>
      </c>
    </row>
    <row r="1105" spans="4:4" x14ac:dyDescent="0.45">
      <c r="D1105" t="s">
        <v>327</v>
      </c>
    </row>
    <row r="1106" spans="4:4" x14ac:dyDescent="0.45">
      <c r="D1106" t="s">
        <v>84</v>
      </c>
    </row>
    <row r="1107" spans="4:4" x14ac:dyDescent="0.45">
      <c r="D1107" t="s">
        <v>85</v>
      </c>
    </row>
    <row r="1108" spans="4:4" x14ac:dyDescent="0.45">
      <c r="D1108" t="s">
        <v>509</v>
      </c>
    </row>
    <row r="1109" spans="4:4" x14ac:dyDescent="0.45">
      <c r="D1109" t="s">
        <v>87</v>
      </c>
    </row>
    <row r="1110" spans="4:4" x14ac:dyDescent="0.45">
      <c r="D1110" t="s">
        <v>88</v>
      </c>
    </row>
    <row r="1111" spans="4:4" x14ac:dyDescent="0.45">
      <c r="D1111" t="s">
        <v>66</v>
      </c>
    </row>
    <row r="1112" spans="4:4" x14ac:dyDescent="0.45">
      <c r="D1112" t="s">
        <v>510</v>
      </c>
    </row>
    <row r="1113" spans="4:4" x14ac:dyDescent="0.45">
      <c r="D1113" t="s">
        <v>511</v>
      </c>
    </row>
    <row r="1114" spans="4:4" x14ac:dyDescent="0.45">
      <c r="D1114" t="s">
        <v>69</v>
      </c>
    </row>
    <row r="1115" spans="4:4" x14ac:dyDescent="0.45">
      <c r="D1115" t="s">
        <v>512</v>
      </c>
    </row>
    <row r="1116" spans="4:4" x14ac:dyDescent="0.45">
      <c r="D1116" t="s">
        <v>132</v>
      </c>
    </row>
    <row r="1117" spans="4:4" x14ac:dyDescent="0.45">
      <c r="D1117" t="s">
        <v>237</v>
      </c>
    </row>
    <row r="1118" spans="4:4" x14ac:dyDescent="0.45">
      <c r="D1118" t="s">
        <v>238</v>
      </c>
    </row>
    <row r="1119" spans="4:4" x14ac:dyDescent="0.45">
      <c r="D1119" t="s">
        <v>134</v>
      </c>
    </row>
    <row r="1120" spans="4:4" x14ac:dyDescent="0.45">
      <c r="D1120" t="s">
        <v>239</v>
      </c>
    </row>
    <row r="1121" spans="4:4" x14ac:dyDescent="0.45">
      <c r="D1121" t="s">
        <v>84</v>
      </c>
    </row>
    <row r="1122" spans="4:4" x14ac:dyDescent="0.45">
      <c r="D1122" t="s">
        <v>85</v>
      </c>
    </row>
    <row r="1123" spans="4:4" x14ac:dyDescent="0.45">
      <c r="D1123" t="s">
        <v>240</v>
      </c>
    </row>
    <row r="1124" spans="4:4" x14ac:dyDescent="0.45">
      <c r="D1124" t="s">
        <v>87</v>
      </c>
    </row>
    <row r="1125" spans="4:4" x14ac:dyDescent="0.45">
      <c r="D1125" t="s">
        <v>88</v>
      </c>
    </row>
    <row r="1126" spans="4:4" x14ac:dyDescent="0.45">
      <c r="D1126" t="s">
        <v>66</v>
      </c>
    </row>
    <row r="1127" spans="4:4" x14ac:dyDescent="0.45">
      <c r="D1127" t="s">
        <v>513</v>
      </c>
    </row>
    <row r="1128" spans="4:4" x14ac:dyDescent="0.45">
      <c r="D1128" t="s">
        <v>514</v>
      </c>
    </row>
    <row r="1129" spans="4:4" x14ac:dyDescent="0.45">
      <c r="D1129" t="s">
        <v>69</v>
      </c>
    </row>
    <row r="1130" spans="4:4" x14ac:dyDescent="0.45">
      <c r="D1130" t="s">
        <v>515</v>
      </c>
    </row>
    <row r="1131" spans="4:4" x14ac:dyDescent="0.45">
      <c r="D1131" t="s">
        <v>132</v>
      </c>
    </row>
    <row r="1132" spans="4:4" x14ac:dyDescent="0.45">
      <c r="D1132" t="s">
        <v>213</v>
      </c>
    </row>
    <row r="1133" spans="4:4" x14ac:dyDescent="0.45">
      <c r="D1133" t="s">
        <v>214</v>
      </c>
    </row>
    <row r="1134" spans="4:4" x14ac:dyDescent="0.45">
      <c r="D1134" t="s">
        <v>134</v>
      </c>
    </row>
    <row r="1135" spans="4:4" x14ac:dyDescent="0.45">
      <c r="D1135" t="s">
        <v>215</v>
      </c>
    </row>
    <row r="1136" spans="4:4" x14ac:dyDescent="0.45">
      <c r="D1136" t="s">
        <v>84</v>
      </c>
    </row>
    <row r="1137" spans="4:4" x14ac:dyDescent="0.45">
      <c r="D1137" t="s">
        <v>85</v>
      </c>
    </row>
    <row r="1138" spans="4:4" x14ac:dyDescent="0.45">
      <c r="D1138" t="s">
        <v>216</v>
      </c>
    </row>
    <row r="1139" spans="4:4" x14ac:dyDescent="0.45">
      <c r="D1139" t="s">
        <v>87</v>
      </c>
    </row>
    <row r="1140" spans="4:4" x14ac:dyDescent="0.45">
      <c r="D1140" t="s">
        <v>88</v>
      </c>
    </row>
    <row r="1141" spans="4:4" x14ac:dyDescent="0.45">
      <c r="D1141" t="s">
        <v>66</v>
      </c>
    </row>
    <row r="1142" spans="4:4" x14ac:dyDescent="0.45">
      <c r="D1142" t="s">
        <v>516</v>
      </c>
    </row>
    <row r="1143" spans="4:4" x14ac:dyDescent="0.45">
      <c r="D1143" t="s">
        <v>517</v>
      </c>
    </row>
    <row r="1144" spans="4:4" x14ac:dyDescent="0.45">
      <c r="D1144" t="s">
        <v>518</v>
      </c>
    </row>
    <row r="1145" spans="4:4" x14ac:dyDescent="0.45">
      <c r="D1145" t="s">
        <v>69</v>
      </c>
    </row>
    <row r="1146" spans="4:4" x14ac:dyDescent="0.45">
      <c r="D1146" t="s">
        <v>519</v>
      </c>
    </row>
    <row r="1147" spans="4:4" x14ac:dyDescent="0.45">
      <c r="D1147" t="s">
        <v>132</v>
      </c>
    </row>
    <row r="1148" spans="4:4" x14ac:dyDescent="0.45">
      <c r="D1148" t="s">
        <v>520</v>
      </c>
    </row>
    <row r="1149" spans="4:4" x14ac:dyDescent="0.45">
      <c r="D1149" t="s">
        <v>521</v>
      </c>
    </row>
    <row r="1150" spans="4:4" x14ac:dyDescent="0.45">
      <c r="D1150" t="s">
        <v>134</v>
      </c>
    </row>
    <row r="1151" spans="4:4" x14ac:dyDescent="0.45">
      <c r="D1151" t="s">
        <v>187</v>
      </c>
    </row>
    <row r="1152" spans="4:4" x14ac:dyDescent="0.45">
      <c r="D1152" t="s">
        <v>84</v>
      </c>
    </row>
    <row r="1153" spans="4:4" x14ac:dyDescent="0.45">
      <c r="D1153" t="s">
        <v>85</v>
      </c>
    </row>
    <row r="1154" spans="4:4" x14ac:dyDescent="0.45">
      <c r="D1154" t="s">
        <v>522</v>
      </c>
    </row>
    <row r="1155" spans="4:4" x14ac:dyDescent="0.45">
      <c r="D1155" t="s">
        <v>87</v>
      </c>
    </row>
    <row r="1156" spans="4:4" x14ac:dyDescent="0.45">
      <c r="D1156" t="s">
        <v>88</v>
      </c>
    </row>
    <row r="1157" spans="4:4" x14ac:dyDescent="0.45">
      <c r="D1157" t="s">
        <v>66</v>
      </c>
    </row>
    <row r="1158" spans="4:4" x14ac:dyDescent="0.45">
      <c r="D1158" t="s">
        <v>523</v>
      </c>
    </row>
    <row r="1159" spans="4:4" x14ac:dyDescent="0.45">
      <c r="D1159" t="s">
        <v>524</v>
      </c>
    </row>
    <row r="1160" spans="4:4" x14ac:dyDescent="0.45">
      <c r="D1160" t="s">
        <v>525</v>
      </c>
    </row>
    <row r="1161" spans="4:4" x14ac:dyDescent="0.45">
      <c r="D1161" t="s">
        <v>69</v>
      </c>
    </row>
    <row r="1162" spans="4:4" x14ac:dyDescent="0.45">
      <c r="D1162" t="s">
        <v>526</v>
      </c>
    </row>
    <row r="1163" spans="4:4" x14ac:dyDescent="0.45">
      <c r="D1163" t="s">
        <v>132</v>
      </c>
    </row>
    <row r="1164" spans="4:4" x14ac:dyDescent="0.45">
      <c r="D1164" t="s">
        <v>527</v>
      </c>
    </row>
    <row r="1165" spans="4:4" x14ac:dyDescent="0.45">
      <c r="D1165" t="s">
        <v>435</v>
      </c>
    </row>
    <row r="1166" spans="4:4" x14ac:dyDescent="0.45">
      <c r="D1166" t="s">
        <v>134</v>
      </c>
    </row>
    <row r="1167" spans="4:4" x14ac:dyDescent="0.45">
      <c r="D1167" t="s">
        <v>251</v>
      </c>
    </row>
    <row r="1168" spans="4:4" x14ac:dyDescent="0.45">
      <c r="D1168" t="s">
        <v>84</v>
      </c>
    </row>
    <row r="1169" spans="4:4" x14ac:dyDescent="0.45">
      <c r="D1169" t="s">
        <v>85</v>
      </c>
    </row>
    <row r="1170" spans="4:4" x14ac:dyDescent="0.45">
      <c r="D1170" t="s">
        <v>528</v>
      </c>
    </row>
    <row r="1171" spans="4:4" x14ac:dyDescent="0.45">
      <c r="D1171" t="s">
        <v>87</v>
      </c>
    </row>
    <row r="1172" spans="4:4" x14ac:dyDescent="0.45">
      <c r="D1172" t="s">
        <v>88</v>
      </c>
    </row>
    <row r="1173" spans="4:4" x14ac:dyDescent="0.45">
      <c r="D1173" t="s">
        <v>66</v>
      </c>
    </row>
    <row r="1174" spans="4:4" x14ac:dyDescent="0.45">
      <c r="D1174" t="s">
        <v>529</v>
      </c>
    </row>
    <row r="1175" spans="4:4" x14ac:dyDescent="0.45">
      <c r="D1175" t="s">
        <v>530</v>
      </c>
    </row>
    <row r="1176" spans="4:4" x14ac:dyDescent="0.45">
      <c r="D1176" t="s">
        <v>531</v>
      </c>
    </row>
    <row r="1177" spans="4:4" x14ac:dyDescent="0.45">
      <c r="D1177" t="s">
        <v>69</v>
      </c>
    </row>
    <row r="1178" spans="4:4" x14ac:dyDescent="0.45">
      <c r="D1178" t="s">
        <v>532</v>
      </c>
    </row>
    <row r="1179" spans="4:4" x14ac:dyDescent="0.45">
      <c r="D1179" t="s">
        <v>132</v>
      </c>
    </row>
    <row r="1180" spans="4:4" x14ac:dyDescent="0.45">
      <c r="D1180" t="s">
        <v>533</v>
      </c>
    </row>
    <row r="1181" spans="4:4" x14ac:dyDescent="0.45">
      <c r="D1181" t="s">
        <v>134</v>
      </c>
    </row>
    <row r="1182" spans="4:4" x14ac:dyDescent="0.45">
      <c r="D1182" t="s">
        <v>201</v>
      </c>
    </row>
    <row r="1183" spans="4:4" x14ac:dyDescent="0.45">
      <c r="D1183" t="s">
        <v>84</v>
      </c>
    </row>
    <row r="1184" spans="4:4" x14ac:dyDescent="0.45">
      <c r="D1184" t="s">
        <v>85</v>
      </c>
    </row>
    <row r="1185" spans="4:4" x14ac:dyDescent="0.45">
      <c r="D1185" t="s">
        <v>534</v>
      </c>
    </row>
    <row r="1186" spans="4:4" x14ac:dyDescent="0.45">
      <c r="D1186" t="s">
        <v>87</v>
      </c>
    </row>
    <row r="1187" spans="4:4" x14ac:dyDescent="0.45">
      <c r="D1187" t="s">
        <v>88</v>
      </c>
    </row>
    <row r="1188" spans="4:4" x14ac:dyDescent="0.45">
      <c r="D1188" t="s">
        <v>66</v>
      </c>
    </row>
    <row r="1189" spans="4:4" x14ac:dyDescent="0.45">
      <c r="D1189" t="s">
        <v>535</v>
      </c>
    </row>
    <row r="1190" spans="4:4" x14ac:dyDescent="0.45">
      <c r="D1190" t="s">
        <v>536</v>
      </c>
    </row>
    <row r="1191" spans="4:4" x14ac:dyDescent="0.45">
      <c r="D1191" t="s">
        <v>69</v>
      </c>
    </row>
    <row r="1192" spans="4:4" x14ac:dyDescent="0.45">
      <c r="D1192" t="s">
        <v>537</v>
      </c>
    </row>
    <row r="1193" spans="4:4" x14ac:dyDescent="0.45">
      <c r="D1193" t="s">
        <v>132</v>
      </c>
    </row>
    <row r="1194" spans="4:4" x14ac:dyDescent="0.45">
      <c r="D1194" t="s">
        <v>274</v>
      </c>
    </row>
    <row r="1195" spans="4:4" x14ac:dyDescent="0.45">
      <c r="D1195" t="s">
        <v>275</v>
      </c>
    </row>
    <row r="1196" spans="4:4" x14ac:dyDescent="0.45">
      <c r="D1196" t="s">
        <v>134</v>
      </c>
    </row>
    <row r="1197" spans="4:4" x14ac:dyDescent="0.45">
      <c r="D1197" t="s">
        <v>201</v>
      </c>
    </row>
    <row r="1198" spans="4:4" x14ac:dyDescent="0.45">
      <c r="D1198" t="s">
        <v>84</v>
      </c>
    </row>
    <row r="1199" spans="4:4" x14ac:dyDescent="0.45">
      <c r="D1199" t="s">
        <v>85</v>
      </c>
    </row>
    <row r="1200" spans="4:4" x14ac:dyDescent="0.45">
      <c r="D1200" t="s">
        <v>276</v>
      </c>
    </row>
    <row r="1201" spans="4:4" x14ac:dyDescent="0.45">
      <c r="D1201" t="s">
        <v>87</v>
      </c>
    </row>
    <row r="1202" spans="4:4" x14ac:dyDescent="0.45">
      <c r="D1202" t="s">
        <v>88</v>
      </c>
    </row>
    <row r="1203" spans="4:4" x14ac:dyDescent="0.45">
      <c r="D1203" t="s">
        <v>66</v>
      </c>
    </row>
    <row r="1204" spans="4:4" x14ac:dyDescent="0.45">
      <c r="D1204" t="s">
        <v>538</v>
      </c>
    </row>
    <row r="1205" spans="4:4" x14ac:dyDescent="0.45">
      <c r="D1205" t="s">
        <v>539</v>
      </c>
    </row>
    <row r="1206" spans="4:4" x14ac:dyDescent="0.45">
      <c r="D1206" t="s">
        <v>69</v>
      </c>
    </row>
    <row r="1207" spans="4:4" x14ac:dyDescent="0.45">
      <c r="D1207" t="s">
        <v>540</v>
      </c>
    </row>
    <row r="1208" spans="4:4" x14ac:dyDescent="0.45">
      <c r="D1208" t="s">
        <v>132</v>
      </c>
    </row>
    <row r="1209" spans="4:4" x14ac:dyDescent="0.45">
      <c r="D1209" t="s">
        <v>250</v>
      </c>
    </row>
    <row r="1210" spans="4:4" x14ac:dyDescent="0.45">
      <c r="D1210" t="s">
        <v>134</v>
      </c>
    </row>
    <row r="1211" spans="4:4" x14ac:dyDescent="0.45">
      <c r="D1211" t="s">
        <v>251</v>
      </c>
    </row>
    <row r="1212" spans="4:4" x14ac:dyDescent="0.45">
      <c r="D1212" t="s">
        <v>84</v>
      </c>
    </row>
    <row r="1213" spans="4:4" x14ac:dyDescent="0.45">
      <c r="D1213" t="s">
        <v>85</v>
      </c>
    </row>
    <row r="1214" spans="4:4" x14ac:dyDescent="0.45">
      <c r="D1214" t="s">
        <v>252</v>
      </c>
    </row>
    <row r="1215" spans="4:4" x14ac:dyDescent="0.45">
      <c r="D1215" t="s">
        <v>87</v>
      </c>
    </row>
    <row r="1216" spans="4:4" x14ac:dyDescent="0.45">
      <c r="D1216" t="s">
        <v>88</v>
      </c>
    </row>
    <row r="1217" spans="4:4" x14ac:dyDescent="0.45">
      <c r="D1217" t="s">
        <v>66</v>
      </c>
    </row>
    <row r="1218" spans="4:4" x14ac:dyDescent="0.45">
      <c r="D1218" t="s">
        <v>541</v>
      </c>
    </row>
    <row r="1219" spans="4:4" x14ac:dyDescent="0.45">
      <c r="D1219" t="s">
        <v>542</v>
      </c>
    </row>
    <row r="1220" spans="4:4" x14ac:dyDescent="0.45">
      <c r="D1220" t="s">
        <v>69</v>
      </c>
    </row>
    <row r="1221" spans="4:4" x14ac:dyDescent="0.45">
      <c r="D1221" t="s">
        <v>543</v>
      </c>
    </row>
    <row r="1222" spans="4:4" x14ac:dyDescent="0.45">
      <c r="D1222" t="s">
        <v>132</v>
      </c>
    </row>
    <row r="1223" spans="4:4" x14ac:dyDescent="0.45">
      <c r="D1223" t="s">
        <v>544</v>
      </c>
    </row>
    <row r="1224" spans="4:4" x14ac:dyDescent="0.45">
      <c r="D1224" t="s">
        <v>545</v>
      </c>
    </row>
    <row r="1225" spans="4:4" x14ac:dyDescent="0.45">
      <c r="D1225" t="s">
        <v>134</v>
      </c>
    </row>
    <row r="1226" spans="4:4" x14ac:dyDescent="0.45">
      <c r="D1226" t="s">
        <v>179</v>
      </c>
    </row>
    <row r="1227" spans="4:4" x14ac:dyDescent="0.45">
      <c r="D1227" t="s">
        <v>84</v>
      </c>
    </row>
    <row r="1228" spans="4:4" x14ac:dyDescent="0.45">
      <c r="D1228" t="s">
        <v>85</v>
      </c>
    </row>
    <row r="1229" spans="4:4" x14ac:dyDescent="0.45">
      <c r="D1229" t="s">
        <v>546</v>
      </c>
    </row>
    <row r="1230" spans="4:4" x14ac:dyDescent="0.45">
      <c r="D1230" t="s">
        <v>87</v>
      </c>
    </row>
    <row r="1231" spans="4:4" x14ac:dyDescent="0.45">
      <c r="D1231" t="s">
        <v>88</v>
      </c>
    </row>
    <row r="1232" spans="4:4" x14ac:dyDescent="0.45">
      <c r="D1232" t="s">
        <v>66</v>
      </c>
    </row>
    <row r="1233" spans="4:4" x14ac:dyDescent="0.45">
      <c r="D1233" t="s">
        <v>547</v>
      </c>
    </row>
    <row r="1234" spans="4:4" x14ac:dyDescent="0.45">
      <c r="D1234" t="s">
        <v>548</v>
      </c>
    </row>
    <row r="1235" spans="4:4" x14ac:dyDescent="0.45">
      <c r="D1235" t="s">
        <v>549</v>
      </c>
    </row>
    <row r="1236" spans="4:4" x14ac:dyDescent="0.45">
      <c r="D1236" t="s">
        <v>69</v>
      </c>
    </row>
    <row r="1237" spans="4:4" x14ac:dyDescent="0.45">
      <c r="D1237" t="s">
        <v>550</v>
      </c>
    </row>
    <row r="1238" spans="4:4" x14ac:dyDescent="0.45">
      <c r="D1238" t="s">
        <v>132</v>
      </c>
    </row>
    <row r="1239" spans="4:4" x14ac:dyDescent="0.45">
      <c r="D1239" t="s">
        <v>551</v>
      </c>
    </row>
    <row r="1240" spans="4:4" x14ac:dyDescent="0.45">
      <c r="D1240" t="s">
        <v>552</v>
      </c>
    </row>
    <row r="1241" spans="4:4" x14ac:dyDescent="0.45">
      <c r="D1241" t="s">
        <v>134</v>
      </c>
    </row>
    <row r="1242" spans="4:4" x14ac:dyDescent="0.45">
      <c r="D1242" t="s">
        <v>179</v>
      </c>
    </row>
    <row r="1243" spans="4:4" x14ac:dyDescent="0.45">
      <c r="D1243" t="s">
        <v>84</v>
      </c>
    </row>
    <row r="1244" spans="4:4" x14ac:dyDescent="0.45">
      <c r="D1244" t="s">
        <v>85</v>
      </c>
    </row>
    <row r="1245" spans="4:4" x14ac:dyDescent="0.45">
      <c r="D1245" t="s">
        <v>553</v>
      </c>
    </row>
    <row r="1246" spans="4:4" x14ac:dyDescent="0.45">
      <c r="D1246" t="s">
        <v>87</v>
      </c>
    </row>
    <row r="1247" spans="4:4" x14ac:dyDescent="0.45">
      <c r="D1247" t="s">
        <v>88</v>
      </c>
    </row>
    <row r="1248" spans="4:4" x14ac:dyDescent="0.45">
      <c r="D1248" t="s">
        <v>66</v>
      </c>
    </row>
    <row r="1249" spans="4:4" x14ac:dyDescent="0.45">
      <c r="D1249" t="s">
        <v>554</v>
      </c>
    </row>
    <row r="1250" spans="4:4" x14ac:dyDescent="0.45">
      <c r="D1250" t="s">
        <v>555</v>
      </c>
    </row>
    <row r="1251" spans="4:4" x14ac:dyDescent="0.45">
      <c r="D1251" t="s">
        <v>69</v>
      </c>
    </row>
    <row r="1252" spans="4:4" x14ac:dyDescent="0.45">
      <c r="D1252" t="s">
        <v>556</v>
      </c>
    </row>
    <row r="1253" spans="4:4" x14ac:dyDescent="0.45">
      <c r="D1253" t="s">
        <v>132</v>
      </c>
    </row>
    <row r="1254" spans="4:4" x14ac:dyDescent="0.45">
      <c r="D1254" t="s">
        <v>434</v>
      </c>
    </row>
    <row r="1255" spans="4:4" x14ac:dyDescent="0.45">
      <c r="D1255" t="s">
        <v>435</v>
      </c>
    </row>
    <row r="1256" spans="4:4" x14ac:dyDescent="0.45">
      <c r="D1256" t="s">
        <v>134</v>
      </c>
    </row>
    <row r="1257" spans="4:4" x14ac:dyDescent="0.45">
      <c r="D1257" t="s">
        <v>436</v>
      </c>
    </row>
    <row r="1258" spans="4:4" x14ac:dyDescent="0.45">
      <c r="D1258" t="s">
        <v>84</v>
      </c>
    </row>
    <row r="1259" spans="4:4" x14ac:dyDescent="0.45">
      <c r="D1259" t="s">
        <v>85</v>
      </c>
    </row>
    <row r="1260" spans="4:4" x14ac:dyDescent="0.45">
      <c r="D1260" t="s">
        <v>437</v>
      </c>
    </row>
    <row r="1261" spans="4:4" x14ac:dyDescent="0.45">
      <c r="D1261" t="s">
        <v>87</v>
      </c>
    </row>
    <row r="1262" spans="4:4" x14ac:dyDescent="0.45">
      <c r="D1262" t="s">
        <v>88</v>
      </c>
    </row>
    <row r="1263" spans="4:4" x14ac:dyDescent="0.45">
      <c r="D1263" t="s">
        <v>66</v>
      </c>
    </row>
    <row r="1264" spans="4:4" x14ac:dyDescent="0.45">
      <c r="D1264" t="s">
        <v>557</v>
      </c>
    </row>
    <row r="1265" spans="4:4" x14ac:dyDescent="0.45">
      <c r="D1265" t="s">
        <v>224</v>
      </c>
    </row>
    <row r="1266" spans="4:4" x14ac:dyDescent="0.45">
      <c r="D1266" t="s">
        <v>558</v>
      </c>
    </row>
    <row r="1267" spans="4:4" x14ac:dyDescent="0.45">
      <c r="D1267" t="s">
        <v>559</v>
      </c>
    </row>
    <row r="1268" spans="4:4" x14ac:dyDescent="0.45">
      <c r="D1268" t="s">
        <v>560</v>
      </c>
    </row>
    <row r="1269" spans="4:4" x14ac:dyDescent="0.45">
      <c r="D1269" t="s">
        <v>561</v>
      </c>
    </row>
    <row r="1270" spans="4:4" x14ac:dyDescent="0.45">
      <c r="D1270" t="s">
        <v>69</v>
      </c>
    </row>
    <row r="1271" spans="4:4" x14ac:dyDescent="0.45">
      <c r="D1271" t="s">
        <v>562</v>
      </c>
    </row>
    <row r="1272" spans="4:4" x14ac:dyDescent="0.45">
      <c r="D1272" t="s">
        <v>132</v>
      </c>
    </row>
    <row r="1273" spans="4:4" x14ac:dyDescent="0.45">
      <c r="D1273" t="s">
        <v>563</v>
      </c>
    </row>
    <row r="1274" spans="4:4" x14ac:dyDescent="0.45">
      <c r="D1274" t="s">
        <v>564</v>
      </c>
    </row>
    <row r="1275" spans="4:4" x14ac:dyDescent="0.45">
      <c r="D1275" t="s">
        <v>565</v>
      </c>
    </row>
    <row r="1276" spans="4:4" x14ac:dyDescent="0.45">
      <c r="D1276" t="s">
        <v>566</v>
      </c>
    </row>
    <row r="1277" spans="4:4" x14ac:dyDescent="0.45">
      <c r="D1277" t="s">
        <v>134</v>
      </c>
    </row>
    <row r="1278" spans="4:4" x14ac:dyDescent="0.45">
      <c r="D1278" t="s">
        <v>179</v>
      </c>
    </row>
    <row r="1279" spans="4:4" x14ac:dyDescent="0.45">
      <c r="D1279" t="s">
        <v>84</v>
      </c>
    </row>
    <row r="1280" spans="4:4" x14ac:dyDescent="0.45">
      <c r="D1280" t="s">
        <v>85</v>
      </c>
    </row>
    <row r="1281" spans="4:4" x14ac:dyDescent="0.45">
      <c r="D1281" t="s">
        <v>567</v>
      </c>
    </row>
    <row r="1282" spans="4:4" x14ac:dyDescent="0.45">
      <c r="D1282" t="s">
        <v>87</v>
      </c>
    </row>
    <row r="1283" spans="4:4" x14ac:dyDescent="0.45">
      <c r="D1283" t="s">
        <v>88</v>
      </c>
    </row>
    <row r="1284" spans="4:4" x14ac:dyDescent="0.45">
      <c r="D1284" t="s">
        <v>66</v>
      </c>
    </row>
    <row r="1285" spans="4:4" x14ac:dyDescent="0.45">
      <c r="D1285" t="s">
        <v>568</v>
      </c>
    </row>
    <row r="1286" spans="4:4" x14ac:dyDescent="0.45">
      <c r="D1286" t="s">
        <v>569</v>
      </c>
    </row>
    <row r="1287" spans="4:4" x14ac:dyDescent="0.45">
      <c r="D1287" t="s">
        <v>570</v>
      </c>
    </row>
    <row r="1288" spans="4:4" x14ac:dyDescent="0.45">
      <c r="D1288" t="s">
        <v>69</v>
      </c>
    </row>
    <row r="1289" spans="4:4" x14ac:dyDescent="0.45">
      <c r="D1289" t="s">
        <v>571</v>
      </c>
    </row>
    <row r="1290" spans="4:4" x14ac:dyDescent="0.45">
      <c r="D1290" t="s">
        <v>132</v>
      </c>
    </row>
    <row r="1291" spans="4:4" x14ac:dyDescent="0.45">
      <c r="D1291" t="s">
        <v>572</v>
      </c>
    </row>
    <row r="1292" spans="4:4" x14ac:dyDescent="0.45">
      <c r="D1292" t="s">
        <v>573</v>
      </c>
    </row>
    <row r="1293" spans="4:4" x14ac:dyDescent="0.45">
      <c r="D1293" t="s">
        <v>134</v>
      </c>
    </row>
    <row r="1294" spans="4:4" x14ac:dyDescent="0.45">
      <c r="D1294" t="s">
        <v>411</v>
      </c>
    </row>
    <row r="1295" spans="4:4" x14ac:dyDescent="0.45">
      <c r="D1295" t="s">
        <v>84</v>
      </c>
    </row>
    <row r="1296" spans="4:4" x14ac:dyDescent="0.45">
      <c r="D1296" t="s">
        <v>85</v>
      </c>
    </row>
    <row r="1297" spans="4:4" x14ac:dyDescent="0.45">
      <c r="D1297" t="s">
        <v>574</v>
      </c>
    </row>
    <row r="1298" spans="4:4" x14ac:dyDescent="0.45">
      <c r="D1298" t="s">
        <v>87</v>
      </c>
    </row>
    <row r="1299" spans="4:4" x14ac:dyDescent="0.45">
      <c r="D1299" t="s">
        <v>88</v>
      </c>
    </row>
    <row r="1300" spans="4:4" x14ac:dyDescent="0.45">
      <c r="D1300" t="s">
        <v>66</v>
      </c>
    </row>
    <row r="1301" spans="4:4" x14ac:dyDescent="0.45">
      <c r="D1301" t="s">
        <v>575</v>
      </c>
    </row>
    <row r="1302" spans="4:4" x14ac:dyDescent="0.45">
      <c r="D1302" t="s">
        <v>576</v>
      </c>
    </row>
    <row r="1303" spans="4:4" x14ac:dyDescent="0.45">
      <c r="D1303" t="s">
        <v>577</v>
      </c>
    </row>
    <row r="1304" spans="4:4" x14ac:dyDescent="0.45">
      <c r="D1304" t="s">
        <v>69</v>
      </c>
    </row>
    <row r="1305" spans="4:4" x14ac:dyDescent="0.45">
      <c r="D1305" t="s">
        <v>578</v>
      </c>
    </row>
    <row r="1306" spans="4:4" x14ac:dyDescent="0.45">
      <c r="D1306" t="s">
        <v>132</v>
      </c>
    </row>
    <row r="1307" spans="4:4" x14ac:dyDescent="0.45">
      <c r="D1307" t="s">
        <v>280</v>
      </c>
    </row>
    <row r="1308" spans="4:4" x14ac:dyDescent="0.45">
      <c r="D1308" t="s">
        <v>281</v>
      </c>
    </row>
    <row r="1309" spans="4:4" x14ac:dyDescent="0.45">
      <c r="D1309" t="s">
        <v>134</v>
      </c>
    </row>
    <row r="1310" spans="4:4" x14ac:dyDescent="0.45">
      <c r="D1310" t="s">
        <v>201</v>
      </c>
    </row>
    <row r="1311" spans="4:4" x14ac:dyDescent="0.45">
      <c r="D1311" t="s">
        <v>84</v>
      </c>
    </row>
    <row r="1312" spans="4:4" x14ac:dyDescent="0.45">
      <c r="D1312" t="s">
        <v>85</v>
      </c>
    </row>
    <row r="1313" spans="4:4" x14ac:dyDescent="0.45">
      <c r="D1313" t="s">
        <v>282</v>
      </c>
    </row>
    <row r="1314" spans="4:4" x14ac:dyDescent="0.45">
      <c r="D1314" t="s">
        <v>87</v>
      </c>
    </row>
    <row r="1315" spans="4:4" x14ac:dyDescent="0.45">
      <c r="D1315" t="s">
        <v>88</v>
      </c>
    </row>
    <row r="1316" spans="4:4" x14ac:dyDescent="0.45">
      <c r="D1316" t="s">
        <v>66</v>
      </c>
    </row>
    <row r="1317" spans="4:4" x14ac:dyDescent="0.45">
      <c r="D1317" t="s">
        <v>579</v>
      </c>
    </row>
    <row r="1318" spans="4:4" x14ac:dyDescent="0.45">
      <c r="D1318" t="s">
        <v>580</v>
      </c>
    </row>
    <row r="1319" spans="4:4" x14ac:dyDescent="0.45">
      <c r="D1319" t="s">
        <v>581</v>
      </c>
    </row>
    <row r="1320" spans="4:4" x14ac:dyDescent="0.45">
      <c r="D1320" t="s">
        <v>69</v>
      </c>
    </row>
    <row r="1321" spans="4:4" x14ac:dyDescent="0.45">
      <c r="D1321" t="s">
        <v>582</v>
      </c>
    </row>
    <row r="1322" spans="4:4" x14ac:dyDescent="0.45">
      <c r="D1322" t="s">
        <v>132</v>
      </c>
    </row>
    <row r="1323" spans="4:4" x14ac:dyDescent="0.45">
      <c r="D1323" t="s">
        <v>583</v>
      </c>
    </row>
    <row r="1324" spans="4:4" x14ac:dyDescent="0.45">
      <c r="D1324" t="s">
        <v>214</v>
      </c>
    </row>
    <row r="1325" spans="4:4" x14ac:dyDescent="0.45">
      <c r="D1325" t="s">
        <v>134</v>
      </c>
    </row>
    <row r="1326" spans="4:4" x14ac:dyDescent="0.45">
      <c r="D1326" t="s">
        <v>399</v>
      </c>
    </row>
    <row r="1327" spans="4:4" x14ac:dyDescent="0.45">
      <c r="D1327" t="s">
        <v>84</v>
      </c>
    </row>
    <row r="1328" spans="4:4" x14ac:dyDescent="0.45">
      <c r="D1328" t="s">
        <v>85</v>
      </c>
    </row>
    <row r="1329" spans="4:4" x14ac:dyDescent="0.45">
      <c r="D1329" t="s">
        <v>584</v>
      </c>
    </row>
    <row r="1330" spans="4:4" x14ac:dyDescent="0.45">
      <c r="D1330" t="s">
        <v>87</v>
      </c>
    </row>
    <row r="1331" spans="4:4" x14ac:dyDescent="0.45">
      <c r="D1331" t="s">
        <v>88</v>
      </c>
    </row>
    <row r="1332" spans="4:4" x14ac:dyDescent="0.45">
      <c r="D1332" t="s">
        <v>66</v>
      </c>
    </row>
    <row r="1333" spans="4:4" x14ac:dyDescent="0.45">
      <c r="D1333" t="s">
        <v>585</v>
      </c>
    </row>
    <row r="1334" spans="4:4" x14ac:dyDescent="0.45">
      <c r="D1334" t="s">
        <v>586</v>
      </c>
    </row>
    <row r="1335" spans="4:4" x14ac:dyDescent="0.45">
      <c r="D1335" t="s">
        <v>587</v>
      </c>
    </row>
    <row r="1336" spans="4:4" x14ac:dyDescent="0.45">
      <c r="D1336" t="s">
        <v>69</v>
      </c>
    </row>
    <row r="1337" spans="4:4" x14ac:dyDescent="0.45">
      <c r="D1337" t="s">
        <v>588</v>
      </c>
    </row>
    <row r="1338" spans="4:4" x14ac:dyDescent="0.45">
      <c r="D1338" t="s">
        <v>132</v>
      </c>
    </row>
    <row r="1339" spans="4:4" x14ac:dyDescent="0.45">
      <c r="D1339" t="s">
        <v>417</v>
      </c>
    </row>
    <row r="1340" spans="4:4" x14ac:dyDescent="0.45">
      <c r="D1340" t="s">
        <v>418</v>
      </c>
    </row>
    <row r="1341" spans="4:4" x14ac:dyDescent="0.45">
      <c r="D1341" t="s">
        <v>134</v>
      </c>
    </row>
    <row r="1342" spans="4:4" x14ac:dyDescent="0.45">
      <c r="D1342" t="s">
        <v>179</v>
      </c>
    </row>
    <row r="1343" spans="4:4" x14ac:dyDescent="0.45">
      <c r="D1343" t="s">
        <v>84</v>
      </c>
    </row>
    <row r="1344" spans="4:4" x14ac:dyDescent="0.45">
      <c r="D1344" t="s">
        <v>85</v>
      </c>
    </row>
    <row r="1345" spans="4:4" x14ac:dyDescent="0.45">
      <c r="D1345" t="s">
        <v>419</v>
      </c>
    </row>
    <row r="1346" spans="4:4" x14ac:dyDescent="0.45">
      <c r="D1346" t="s">
        <v>87</v>
      </c>
    </row>
    <row r="1347" spans="4:4" x14ac:dyDescent="0.45">
      <c r="D1347" t="s">
        <v>88</v>
      </c>
    </row>
    <row r="1348" spans="4:4" x14ac:dyDescent="0.45">
      <c r="D1348" t="s">
        <v>66</v>
      </c>
    </row>
    <row r="1349" spans="4:4" x14ac:dyDescent="0.45">
      <c r="D1349" t="s">
        <v>589</v>
      </c>
    </row>
    <row r="1350" spans="4:4" x14ac:dyDescent="0.45">
      <c r="D1350" t="s">
        <v>590</v>
      </c>
    </row>
    <row r="1351" spans="4:4" x14ac:dyDescent="0.45">
      <c r="D1351" t="s">
        <v>69</v>
      </c>
    </row>
    <row r="1352" spans="4:4" x14ac:dyDescent="0.45">
      <c r="D1352" t="s">
        <v>591</v>
      </c>
    </row>
    <row r="1353" spans="4:4" x14ac:dyDescent="0.45">
      <c r="D1353" t="s">
        <v>132</v>
      </c>
    </row>
    <row r="1354" spans="4:4" x14ac:dyDescent="0.45">
      <c r="D1354" t="s">
        <v>244</v>
      </c>
    </row>
    <row r="1355" spans="4:4" x14ac:dyDescent="0.45">
      <c r="D1355" t="s">
        <v>245</v>
      </c>
    </row>
    <row r="1356" spans="4:4" x14ac:dyDescent="0.45">
      <c r="D1356" t="s">
        <v>134</v>
      </c>
    </row>
    <row r="1357" spans="4:4" x14ac:dyDescent="0.45">
      <c r="D1357" t="s">
        <v>201</v>
      </c>
    </row>
    <row r="1358" spans="4:4" x14ac:dyDescent="0.45">
      <c r="D1358" t="s">
        <v>84</v>
      </c>
    </row>
    <row r="1359" spans="4:4" x14ac:dyDescent="0.45">
      <c r="D1359" t="s">
        <v>85</v>
      </c>
    </row>
    <row r="1360" spans="4:4" x14ac:dyDescent="0.45">
      <c r="D1360" t="s">
        <v>246</v>
      </c>
    </row>
    <row r="1361" spans="4:4" x14ac:dyDescent="0.45">
      <c r="D1361" t="s">
        <v>87</v>
      </c>
    </row>
    <row r="1362" spans="4:4" x14ac:dyDescent="0.45">
      <c r="D1362" t="s">
        <v>88</v>
      </c>
    </row>
    <row r="1363" spans="4:4" x14ac:dyDescent="0.45">
      <c r="D1363" t="s">
        <v>66</v>
      </c>
    </row>
    <row r="1364" spans="4:4" x14ac:dyDescent="0.45">
      <c r="D1364" t="s">
        <v>592</v>
      </c>
    </row>
    <row r="1365" spans="4:4" x14ac:dyDescent="0.45">
      <c r="D1365" t="s">
        <v>593</v>
      </c>
    </row>
    <row r="1366" spans="4:4" x14ac:dyDescent="0.45">
      <c r="D1366" t="s">
        <v>69</v>
      </c>
    </row>
    <row r="1367" spans="4:4" x14ac:dyDescent="0.45">
      <c r="D1367" t="s">
        <v>594</v>
      </c>
    </row>
    <row r="1368" spans="4:4" x14ac:dyDescent="0.45">
      <c r="D1368" t="s">
        <v>132</v>
      </c>
    </row>
    <row r="1369" spans="4:4" x14ac:dyDescent="0.45">
      <c r="D1369" t="s">
        <v>274</v>
      </c>
    </row>
    <row r="1370" spans="4:4" x14ac:dyDescent="0.45">
      <c r="D1370" t="s">
        <v>275</v>
      </c>
    </row>
    <row r="1371" spans="4:4" x14ac:dyDescent="0.45">
      <c r="D1371" t="s">
        <v>134</v>
      </c>
    </row>
    <row r="1372" spans="4:4" x14ac:dyDescent="0.45">
      <c r="D1372" t="s">
        <v>201</v>
      </c>
    </row>
    <row r="1373" spans="4:4" x14ac:dyDescent="0.45">
      <c r="D1373" t="s">
        <v>84</v>
      </c>
    </row>
    <row r="1374" spans="4:4" x14ac:dyDescent="0.45">
      <c r="D1374" t="s">
        <v>85</v>
      </c>
    </row>
    <row r="1375" spans="4:4" x14ac:dyDescent="0.45">
      <c r="D1375" t="s">
        <v>276</v>
      </c>
    </row>
    <row r="1376" spans="4:4" x14ac:dyDescent="0.45">
      <c r="D1376" t="s">
        <v>87</v>
      </c>
    </row>
    <row r="1377" spans="4:4" x14ac:dyDescent="0.45">
      <c r="D1377" t="s">
        <v>88</v>
      </c>
    </row>
    <row r="1378" spans="4:4" x14ac:dyDescent="0.45">
      <c r="D1378" t="s">
        <v>66</v>
      </c>
    </row>
    <row r="1379" spans="4:4" x14ac:dyDescent="0.45">
      <c r="D1379" t="s">
        <v>595</v>
      </c>
    </row>
    <row r="1380" spans="4:4" x14ac:dyDescent="0.45">
      <c r="D1380" t="s">
        <v>596</v>
      </c>
    </row>
    <row r="1381" spans="4:4" x14ac:dyDescent="0.45">
      <c r="D1381" t="s">
        <v>69</v>
      </c>
    </row>
    <row r="1382" spans="4:4" x14ac:dyDescent="0.45">
      <c r="D1382" t="s">
        <v>597</v>
      </c>
    </row>
    <row r="1383" spans="4:4" x14ac:dyDescent="0.45">
      <c r="D1383" t="s">
        <v>132</v>
      </c>
    </row>
    <row r="1384" spans="4:4" x14ac:dyDescent="0.45">
      <c r="D1384" t="s">
        <v>280</v>
      </c>
    </row>
    <row r="1385" spans="4:4" x14ac:dyDescent="0.45">
      <c r="D1385" t="s">
        <v>281</v>
      </c>
    </row>
    <row r="1386" spans="4:4" x14ac:dyDescent="0.45">
      <c r="D1386" t="s">
        <v>134</v>
      </c>
    </row>
    <row r="1387" spans="4:4" x14ac:dyDescent="0.45">
      <c r="D1387" t="s">
        <v>201</v>
      </c>
    </row>
    <row r="1388" spans="4:4" x14ac:dyDescent="0.45">
      <c r="D1388" t="s">
        <v>84</v>
      </c>
    </row>
    <row r="1389" spans="4:4" x14ac:dyDescent="0.45">
      <c r="D1389" t="s">
        <v>85</v>
      </c>
    </row>
    <row r="1390" spans="4:4" x14ac:dyDescent="0.45">
      <c r="D1390" t="s">
        <v>282</v>
      </c>
    </row>
    <row r="1391" spans="4:4" x14ac:dyDescent="0.45">
      <c r="D1391" t="s">
        <v>87</v>
      </c>
    </row>
    <row r="1392" spans="4:4" x14ac:dyDescent="0.45">
      <c r="D1392" t="s">
        <v>88</v>
      </c>
    </row>
    <row r="1393" spans="4:4" x14ac:dyDescent="0.45">
      <c r="D1393" t="s">
        <v>66</v>
      </c>
    </row>
    <row r="1394" spans="4:4" x14ac:dyDescent="0.45">
      <c r="D1394" t="s">
        <v>598</v>
      </c>
    </row>
    <row r="1395" spans="4:4" x14ac:dyDescent="0.45">
      <c r="D1395" t="s">
        <v>599</v>
      </c>
    </row>
    <row r="1396" spans="4:4" x14ac:dyDescent="0.45">
      <c r="D1396" t="s">
        <v>600</v>
      </c>
    </row>
    <row r="1397" spans="4:4" x14ac:dyDescent="0.45">
      <c r="D1397" t="s">
        <v>69</v>
      </c>
    </row>
    <row r="1398" spans="4:4" x14ac:dyDescent="0.45">
      <c r="D1398" t="s">
        <v>601</v>
      </c>
    </row>
    <row r="1399" spans="4:4" x14ac:dyDescent="0.45">
      <c r="D1399" t="s">
        <v>132</v>
      </c>
    </row>
    <row r="1400" spans="4:4" x14ac:dyDescent="0.45">
      <c r="D1400" t="s">
        <v>602</v>
      </c>
    </row>
    <row r="1401" spans="4:4" x14ac:dyDescent="0.45">
      <c r="D1401" t="s">
        <v>603</v>
      </c>
    </row>
    <row r="1402" spans="4:4" x14ac:dyDescent="0.45">
      <c r="D1402" t="s">
        <v>134</v>
      </c>
    </row>
    <row r="1403" spans="4:4" x14ac:dyDescent="0.45">
      <c r="D1403" t="s">
        <v>201</v>
      </c>
    </row>
    <row r="1404" spans="4:4" x14ac:dyDescent="0.45">
      <c r="D1404" t="s">
        <v>84</v>
      </c>
    </row>
    <row r="1405" spans="4:4" x14ac:dyDescent="0.45">
      <c r="D1405" t="s">
        <v>85</v>
      </c>
    </row>
    <row r="1406" spans="4:4" x14ac:dyDescent="0.45">
      <c r="D1406" t="s">
        <v>604</v>
      </c>
    </row>
    <row r="1407" spans="4:4" x14ac:dyDescent="0.45">
      <c r="D1407" t="s">
        <v>87</v>
      </c>
    </row>
    <row r="1408" spans="4:4" x14ac:dyDescent="0.45">
      <c r="D1408" t="s">
        <v>88</v>
      </c>
    </row>
    <row r="1409" spans="4:4" x14ac:dyDescent="0.45">
      <c r="D1409" t="s">
        <v>66</v>
      </c>
    </row>
    <row r="1410" spans="4:4" x14ac:dyDescent="0.45">
      <c r="D1410" t="s">
        <v>605</v>
      </c>
    </row>
    <row r="1411" spans="4:4" x14ac:dyDescent="0.45">
      <c r="D1411" t="s">
        <v>606</v>
      </c>
    </row>
    <row r="1412" spans="4:4" x14ac:dyDescent="0.45">
      <c r="D1412" t="s">
        <v>607</v>
      </c>
    </row>
    <row r="1413" spans="4:4" x14ac:dyDescent="0.45">
      <c r="D1413" t="s">
        <v>608</v>
      </c>
    </row>
    <row r="1414" spans="4:4" x14ac:dyDescent="0.45">
      <c r="D1414" t="s">
        <v>609</v>
      </c>
    </row>
    <row r="1415" spans="4:4" x14ac:dyDescent="0.45">
      <c r="D1415" t="s">
        <v>69</v>
      </c>
    </row>
    <row r="1416" spans="4:4" x14ac:dyDescent="0.45">
      <c r="D1416" t="s">
        <v>610</v>
      </c>
    </row>
    <row r="1417" spans="4:4" x14ac:dyDescent="0.45">
      <c r="D1417" t="s">
        <v>132</v>
      </c>
    </row>
    <row r="1418" spans="4:4" x14ac:dyDescent="0.45">
      <c r="D1418" t="s">
        <v>611</v>
      </c>
    </row>
    <row r="1419" spans="4:4" x14ac:dyDescent="0.45">
      <c r="D1419" t="s">
        <v>612</v>
      </c>
    </row>
    <row r="1420" spans="4:4" x14ac:dyDescent="0.45">
      <c r="D1420" t="s">
        <v>613</v>
      </c>
    </row>
    <row r="1421" spans="4:4" x14ac:dyDescent="0.45">
      <c r="D1421" t="s">
        <v>134</v>
      </c>
    </row>
    <row r="1422" spans="4:4" x14ac:dyDescent="0.45">
      <c r="D1422" t="s">
        <v>179</v>
      </c>
    </row>
    <row r="1423" spans="4:4" x14ac:dyDescent="0.45">
      <c r="D1423" t="s">
        <v>84</v>
      </c>
    </row>
    <row r="1424" spans="4:4" x14ac:dyDescent="0.45">
      <c r="D1424" t="s">
        <v>85</v>
      </c>
    </row>
    <row r="1425" spans="4:4" x14ac:dyDescent="0.45">
      <c r="D1425" t="s">
        <v>614</v>
      </c>
    </row>
    <row r="1426" spans="4:4" x14ac:dyDescent="0.45">
      <c r="D1426" t="s">
        <v>87</v>
      </c>
    </row>
    <row r="1427" spans="4:4" x14ac:dyDescent="0.45">
      <c r="D1427" t="s">
        <v>88</v>
      </c>
    </row>
    <row r="1428" spans="4:4" x14ac:dyDescent="0.45">
      <c r="D1428" t="s">
        <v>66</v>
      </c>
    </row>
    <row r="1429" spans="4:4" x14ac:dyDescent="0.45">
      <c r="D1429" t="s">
        <v>615</v>
      </c>
    </row>
    <row r="1430" spans="4:4" x14ac:dyDescent="0.45">
      <c r="D1430" t="s">
        <v>616</v>
      </c>
    </row>
    <row r="1431" spans="4:4" x14ac:dyDescent="0.45">
      <c r="D1431" t="s">
        <v>69</v>
      </c>
    </row>
    <row r="1432" spans="4:4" x14ac:dyDescent="0.45">
      <c r="D1432" t="s">
        <v>617</v>
      </c>
    </row>
    <row r="1433" spans="4:4" x14ac:dyDescent="0.45">
      <c r="D1433" t="s">
        <v>132</v>
      </c>
    </row>
    <row r="1434" spans="4:4" x14ac:dyDescent="0.45">
      <c r="D1434" t="s">
        <v>544</v>
      </c>
    </row>
    <row r="1435" spans="4:4" x14ac:dyDescent="0.45">
      <c r="D1435" t="s">
        <v>545</v>
      </c>
    </row>
    <row r="1436" spans="4:4" x14ac:dyDescent="0.45">
      <c r="D1436" t="s">
        <v>134</v>
      </c>
    </row>
    <row r="1437" spans="4:4" x14ac:dyDescent="0.45">
      <c r="D1437" t="s">
        <v>179</v>
      </c>
    </row>
    <row r="1438" spans="4:4" x14ac:dyDescent="0.45">
      <c r="D1438" t="s">
        <v>84</v>
      </c>
    </row>
    <row r="1439" spans="4:4" x14ac:dyDescent="0.45">
      <c r="D1439" t="s">
        <v>85</v>
      </c>
    </row>
    <row r="1440" spans="4:4" x14ac:dyDescent="0.45">
      <c r="D1440" t="s">
        <v>546</v>
      </c>
    </row>
    <row r="1441" spans="4:4" x14ac:dyDescent="0.45">
      <c r="D1441" t="s">
        <v>87</v>
      </c>
    </row>
    <row r="1442" spans="4:4" x14ac:dyDescent="0.45">
      <c r="D1442" t="s">
        <v>88</v>
      </c>
    </row>
    <row r="1443" spans="4:4" x14ac:dyDescent="0.45">
      <c r="D1443" t="s">
        <v>66</v>
      </c>
    </row>
    <row r="1444" spans="4:4" x14ac:dyDescent="0.45">
      <c r="D1444" t="s">
        <v>618</v>
      </c>
    </row>
    <row r="1445" spans="4:4" x14ac:dyDescent="0.45">
      <c r="D1445" t="s">
        <v>619</v>
      </c>
    </row>
    <row r="1446" spans="4:4" x14ac:dyDescent="0.45">
      <c r="D1446" t="s">
        <v>620</v>
      </c>
    </row>
    <row r="1447" spans="4:4" x14ac:dyDescent="0.45">
      <c r="D1447" t="s">
        <v>69</v>
      </c>
    </row>
    <row r="1448" spans="4:4" x14ac:dyDescent="0.45">
      <c r="D1448" t="s">
        <v>621</v>
      </c>
    </row>
    <row r="1449" spans="4:4" x14ac:dyDescent="0.45">
      <c r="D1449" t="s">
        <v>132</v>
      </c>
    </row>
    <row r="1450" spans="4:4" x14ac:dyDescent="0.45">
      <c r="D1450" t="s">
        <v>622</v>
      </c>
    </row>
    <row r="1451" spans="4:4" x14ac:dyDescent="0.45">
      <c r="D1451" t="s">
        <v>623</v>
      </c>
    </row>
    <row r="1452" spans="4:4" x14ac:dyDescent="0.45">
      <c r="D1452" t="s">
        <v>134</v>
      </c>
    </row>
    <row r="1453" spans="4:4" x14ac:dyDescent="0.45">
      <c r="D1453" t="s">
        <v>179</v>
      </c>
    </row>
    <row r="1454" spans="4:4" x14ac:dyDescent="0.45">
      <c r="D1454" t="s">
        <v>84</v>
      </c>
    </row>
    <row r="1455" spans="4:4" x14ac:dyDescent="0.45">
      <c r="D1455" t="s">
        <v>85</v>
      </c>
    </row>
    <row r="1456" spans="4:4" x14ac:dyDescent="0.45">
      <c r="D1456" t="s">
        <v>624</v>
      </c>
    </row>
    <row r="1457" spans="4:4" x14ac:dyDescent="0.45">
      <c r="D1457" t="s">
        <v>87</v>
      </c>
    </row>
    <row r="1458" spans="4:4" x14ac:dyDescent="0.45">
      <c r="D1458" t="s">
        <v>88</v>
      </c>
    </row>
    <row r="1459" spans="4:4" x14ac:dyDescent="0.45">
      <c r="D1459" t="s">
        <v>66</v>
      </c>
    </row>
    <row r="1460" spans="4:4" x14ac:dyDescent="0.45">
      <c r="D1460" t="s">
        <v>605</v>
      </c>
    </row>
    <row r="1461" spans="4:4" x14ac:dyDescent="0.45">
      <c r="D1461" t="s">
        <v>625</v>
      </c>
    </row>
    <row r="1462" spans="4:4" x14ac:dyDescent="0.45">
      <c r="D1462" t="s">
        <v>607</v>
      </c>
    </row>
    <row r="1463" spans="4:4" x14ac:dyDescent="0.45">
      <c r="D1463" t="s">
        <v>626</v>
      </c>
    </row>
    <row r="1464" spans="4:4" x14ac:dyDescent="0.45">
      <c r="D1464" t="s">
        <v>627</v>
      </c>
    </row>
    <row r="1465" spans="4:4" x14ac:dyDescent="0.45">
      <c r="D1465" t="s">
        <v>628</v>
      </c>
    </row>
    <row r="1466" spans="4:4" x14ac:dyDescent="0.45">
      <c r="D1466" t="s">
        <v>69</v>
      </c>
    </row>
    <row r="1467" spans="4:4" x14ac:dyDescent="0.45">
      <c r="D1467" t="s">
        <v>629</v>
      </c>
    </row>
    <row r="1468" spans="4:4" x14ac:dyDescent="0.45">
      <c r="D1468" t="s">
        <v>132</v>
      </c>
    </row>
    <row r="1469" spans="4:4" x14ac:dyDescent="0.45">
      <c r="D1469" t="s">
        <v>630</v>
      </c>
    </row>
    <row r="1470" spans="4:4" x14ac:dyDescent="0.45">
      <c r="D1470" t="s">
        <v>631</v>
      </c>
    </row>
    <row r="1471" spans="4:4" x14ac:dyDescent="0.45">
      <c r="D1471" t="s">
        <v>632</v>
      </c>
    </row>
    <row r="1472" spans="4:4" x14ac:dyDescent="0.45">
      <c r="D1472" t="s">
        <v>633</v>
      </c>
    </row>
    <row r="1473" spans="4:4" x14ac:dyDescent="0.45">
      <c r="D1473" t="s">
        <v>134</v>
      </c>
    </row>
    <row r="1474" spans="4:4" x14ac:dyDescent="0.45">
      <c r="D1474" t="s">
        <v>179</v>
      </c>
    </row>
    <row r="1475" spans="4:4" x14ac:dyDescent="0.45">
      <c r="D1475" t="s">
        <v>84</v>
      </c>
    </row>
    <row r="1476" spans="4:4" x14ac:dyDescent="0.45">
      <c r="D1476" t="s">
        <v>85</v>
      </c>
    </row>
    <row r="1477" spans="4:4" x14ac:dyDescent="0.45">
      <c r="D1477" t="s">
        <v>634</v>
      </c>
    </row>
    <row r="1478" spans="4:4" x14ac:dyDescent="0.45">
      <c r="D1478" t="s">
        <v>87</v>
      </c>
    </row>
    <row r="1479" spans="4:4" x14ac:dyDescent="0.45">
      <c r="D1479" t="s">
        <v>88</v>
      </c>
    </row>
    <row r="1480" spans="4:4" x14ac:dyDescent="0.45">
      <c r="D1480" t="s">
        <v>66</v>
      </c>
    </row>
    <row r="1481" spans="4:4" x14ac:dyDescent="0.45">
      <c r="D1481" t="s">
        <v>635</v>
      </c>
    </row>
    <row r="1482" spans="4:4" x14ac:dyDescent="0.45">
      <c r="D1482" t="s">
        <v>636</v>
      </c>
    </row>
    <row r="1483" spans="4:4" x14ac:dyDescent="0.45">
      <c r="D1483" t="s">
        <v>69</v>
      </c>
    </row>
    <row r="1484" spans="4:4" x14ac:dyDescent="0.45">
      <c r="D1484" t="s">
        <v>629</v>
      </c>
    </row>
    <row r="1485" spans="4:4" x14ac:dyDescent="0.45">
      <c r="D1485" t="s">
        <v>637</v>
      </c>
    </row>
    <row r="1486" spans="4:4" x14ac:dyDescent="0.45">
      <c r="D1486" t="s">
        <v>132</v>
      </c>
    </row>
    <row r="1487" spans="4:4" x14ac:dyDescent="0.45">
      <c r="D1487" t="s">
        <v>630</v>
      </c>
    </row>
    <row r="1488" spans="4:4" x14ac:dyDescent="0.45">
      <c r="D1488" t="s">
        <v>631</v>
      </c>
    </row>
    <row r="1489" spans="4:4" x14ac:dyDescent="0.45">
      <c r="D1489" t="s">
        <v>632</v>
      </c>
    </row>
    <row r="1490" spans="4:4" x14ac:dyDescent="0.45">
      <c r="D1490" t="s">
        <v>638</v>
      </c>
    </row>
    <row r="1491" spans="4:4" x14ac:dyDescent="0.45">
      <c r="D1491" t="s">
        <v>134</v>
      </c>
    </row>
    <row r="1492" spans="4:4" x14ac:dyDescent="0.45">
      <c r="D1492" t="s">
        <v>179</v>
      </c>
    </row>
    <row r="1493" spans="4:4" x14ac:dyDescent="0.45">
      <c r="D1493" t="s">
        <v>84</v>
      </c>
    </row>
    <row r="1494" spans="4:4" x14ac:dyDescent="0.45">
      <c r="D1494" t="s">
        <v>85</v>
      </c>
    </row>
    <row r="1495" spans="4:4" x14ac:dyDescent="0.45">
      <c r="D1495" t="s">
        <v>639</v>
      </c>
    </row>
    <row r="1496" spans="4:4" x14ac:dyDescent="0.45">
      <c r="D1496" t="s">
        <v>87</v>
      </c>
    </row>
    <row r="1497" spans="4:4" x14ac:dyDescent="0.45">
      <c r="D1497" t="s">
        <v>88</v>
      </c>
    </row>
    <row r="1498" spans="4:4" x14ac:dyDescent="0.45">
      <c r="D1498" t="s">
        <v>66</v>
      </c>
    </row>
    <row r="1499" spans="4:4" x14ac:dyDescent="0.45">
      <c r="D1499" t="s">
        <v>640</v>
      </c>
    </row>
    <row r="1500" spans="4:4" x14ac:dyDescent="0.45">
      <c r="D1500" t="s">
        <v>641</v>
      </c>
    </row>
    <row r="1501" spans="4:4" x14ac:dyDescent="0.45">
      <c r="D1501" t="s">
        <v>69</v>
      </c>
    </row>
    <row r="1502" spans="4:4" x14ac:dyDescent="0.45">
      <c r="D1502" t="s">
        <v>642</v>
      </c>
    </row>
    <row r="1503" spans="4:4" x14ac:dyDescent="0.45">
      <c r="D1503" t="s">
        <v>132</v>
      </c>
    </row>
    <row r="1504" spans="4:4" x14ac:dyDescent="0.45">
      <c r="D1504" t="s">
        <v>244</v>
      </c>
    </row>
    <row r="1505" spans="4:4" x14ac:dyDescent="0.45">
      <c r="D1505" t="s">
        <v>245</v>
      </c>
    </row>
    <row r="1506" spans="4:4" x14ac:dyDescent="0.45">
      <c r="D1506" t="s">
        <v>134</v>
      </c>
    </row>
    <row r="1507" spans="4:4" x14ac:dyDescent="0.45">
      <c r="D1507" t="s">
        <v>201</v>
      </c>
    </row>
    <row r="1508" spans="4:4" x14ac:dyDescent="0.45">
      <c r="D1508" t="s">
        <v>84</v>
      </c>
    </row>
    <row r="1509" spans="4:4" x14ac:dyDescent="0.45">
      <c r="D1509" t="s">
        <v>85</v>
      </c>
    </row>
    <row r="1510" spans="4:4" x14ac:dyDescent="0.45">
      <c r="D1510" t="s">
        <v>246</v>
      </c>
    </row>
    <row r="1511" spans="4:4" x14ac:dyDescent="0.45">
      <c r="D1511" t="s">
        <v>87</v>
      </c>
    </row>
    <row r="1512" spans="4:4" x14ac:dyDescent="0.45">
      <c r="D1512" t="s">
        <v>88</v>
      </c>
    </row>
    <row r="1513" spans="4:4" x14ac:dyDescent="0.45">
      <c r="D1513" t="s">
        <v>66</v>
      </c>
    </row>
    <row r="1514" spans="4:4" x14ac:dyDescent="0.45">
      <c r="D1514" t="s">
        <v>643</v>
      </c>
    </row>
    <row r="1515" spans="4:4" x14ac:dyDescent="0.45">
      <c r="D1515" t="s">
        <v>644</v>
      </c>
    </row>
    <row r="1516" spans="4:4" x14ac:dyDescent="0.45">
      <c r="D1516" t="s">
        <v>645</v>
      </c>
    </row>
    <row r="1517" spans="4:4" x14ac:dyDescent="0.45">
      <c r="D1517" t="s">
        <v>69</v>
      </c>
    </row>
    <row r="1518" spans="4:4" x14ac:dyDescent="0.45">
      <c r="D1518" t="s">
        <v>646</v>
      </c>
    </row>
    <row r="1519" spans="4:4" x14ac:dyDescent="0.45">
      <c r="D1519" t="s">
        <v>132</v>
      </c>
    </row>
    <row r="1520" spans="4:4" x14ac:dyDescent="0.45">
      <c r="D1520" t="s">
        <v>647</v>
      </c>
    </row>
    <row r="1521" spans="4:4" x14ac:dyDescent="0.45">
      <c r="D1521" t="s">
        <v>134</v>
      </c>
    </row>
    <row r="1522" spans="4:4" x14ac:dyDescent="0.45">
      <c r="D1522" t="s">
        <v>436</v>
      </c>
    </row>
    <row r="1523" spans="4:4" x14ac:dyDescent="0.45">
      <c r="D1523" t="s">
        <v>84</v>
      </c>
    </row>
    <row r="1524" spans="4:4" x14ac:dyDescent="0.45">
      <c r="D1524" t="s">
        <v>85</v>
      </c>
    </row>
    <row r="1525" spans="4:4" x14ac:dyDescent="0.45">
      <c r="D1525" t="s">
        <v>648</v>
      </c>
    </row>
    <row r="1526" spans="4:4" x14ac:dyDescent="0.45">
      <c r="D1526" t="s">
        <v>87</v>
      </c>
    </row>
    <row r="1527" spans="4:4" x14ac:dyDescent="0.45">
      <c r="D1527" t="s">
        <v>88</v>
      </c>
    </row>
    <row r="1528" spans="4:4" x14ac:dyDescent="0.45">
      <c r="D1528" t="s">
        <v>66</v>
      </c>
    </row>
    <row r="1529" spans="4:4" x14ac:dyDescent="0.45">
      <c r="D1529" t="s">
        <v>649</v>
      </c>
    </row>
    <row r="1530" spans="4:4" x14ac:dyDescent="0.45">
      <c r="D1530" t="s">
        <v>650</v>
      </c>
    </row>
    <row r="1531" spans="4:4" x14ac:dyDescent="0.45">
      <c r="D1531" t="s">
        <v>69</v>
      </c>
    </row>
    <row r="1532" spans="4:4" x14ac:dyDescent="0.45">
      <c r="D1532" t="s">
        <v>651</v>
      </c>
    </row>
    <row r="1533" spans="4:4" x14ac:dyDescent="0.45">
      <c r="D1533" t="s">
        <v>132</v>
      </c>
    </row>
    <row r="1534" spans="4:4" x14ac:dyDescent="0.45">
      <c r="D1534" t="s">
        <v>652</v>
      </c>
    </row>
    <row r="1535" spans="4:4" x14ac:dyDescent="0.45">
      <c r="D1535" t="s">
        <v>170</v>
      </c>
    </row>
    <row r="1536" spans="4:4" x14ac:dyDescent="0.45">
      <c r="D1536" t="s">
        <v>134</v>
      </c>
    </row>
    <row r="1537" spans="4:4" x14ac:dyDescent="0.45">
      <c r="D1537" t="s">
        <v>158</v>
      </c>
    </row>
    <row r="1538" spans="4:4" x14ac:dyDescent="0.45">
      <c r="D1538" t="s">
        <v>84</v>
      </c>
    </row>
    <row r="1539" spans="4:4" x14ac:dyDescent="0.45">
      <c r="D1539" t="s">
        <v>85</v>
      </c>
    </row>
    <row r="1540" spans="4:4" x14ac:dyDescent="0.45">
      <c r="D1540" t="s">
        <v>653</v>
      </c>
    </row>
    <row r="1541" spans="4:4" x14ac:dyDescent="0.45">
      <c r="D1541" t="s">
        <v>87</v>
      </c>
    </row>
    <row r="1542" spans="4:4" x14ac:dyDescent="0.45">
      <c r="D1542" t="s">
        <v>88</v>
      </c>
    </row>
    <row r="1543" spans="4:4" x14ac:dyDescent="0.45">
      <c r="D1543" t="s">
        <v>66</v>
      </c>
    </row>
    <row r="1544" spans="4:4" x14ac:dyDescent="0.45">
      <c r="D1544" t="s">
        <v>654</v>
      </c>
    </row>
    <row r="1545" spans="4:4" x14ac:dyDescent="0.45">
      <c r="D1545" t="s">
        <v>655</v>
      </c>
    </row>
    <row r="1546" spans="4:4" x14ac:dyDescent="0.45">
      <c r="D1546" t="s">
        <v>69</v>
      </c>
    </row>
    <row r="1547" spans="4:4" x14ac:dyDescent="0.45">
      <c r="D1547" t="s">
        <v>656</v>
      </c>
    </row>
    <row r="1548" spans="4:4" x14ac:dyDescent="0.45">
      <c r="D1548" t="s">
        <v>132</v>
      </c>
    </row>
    <row r="1549" spans="4:4" x14ac:dyDescent="0.45">
      <c r="D1549" t="s">
        <v>213</v>
      </c>
    </row>
    <row r="1550" spans="4:4" x14ac:dyDescent="0.45">
      <c r="D1550" t="s">
        <v>214</v>
      </c>
    </row>
    <row r="1551" spans="4:4" x14ac:dyDescent="0.45">
      <c r="D1551" t="s">
        <v>134</v>
      </c>
    </row>
    <row r="1552" spans="4:4" x14ac:dyDescent="0.45">
      <c r="D1552" t="s">
        <v>215</v>
      </c>
    </row>
    <row r="1553" spans="4:4" x14ac:dyDescent="0.45">
      <c r="D1553" t="s">
        <v>84</v>
      </c>
    </row>
    <row r="1554" spans="4:4" x14ac:dyDescent="0.45">
      <c r="D1554" t="s">
        <v>85</v>
      </c>
    </row>
    <row r="1555" spans="4:4" x14ac:dyDescent="0.45">
      <c r="D1555" t="s">
        <v>216</v>
      </c>
    </row>
    <row r="1556" spans="4:4" x14ac:dyDescent="0.45">
      <c r="D1556" t="s">
        <v>87</v>
      </c>
    </row>
    <row r="1557" spans="4:4" x14ac:dyDescent="0.45">
      <c r="D1557" t="s">
        <v>88</v>
      </c>
    </row>
    <row r="1558" spans="4:4" x14ac:dyDescent="0.45">
      <c r="D1558" t="s">
        <v>66</v>
      </c>
    </row>
    <row r="1559" spans="4:4" x14ac:dyDescent="0.45">
      <c r="D1559" t="s">
        <v>657</v>
      </c>
    </row>
    <row r="1560" spans="4:4" x14ac:dyDescent="0.45">
      <c r="D1560" t="s">
        <v>658</v>
      </c>
    </row>
    <row r="1561" spans="4:4" x14ac:dyDescent="0.45">
      <c r="D1561" t="s">
        <v>69</v>
      </c>
    </row>
    <row r="1562" spans="4:4" x14ac:dyDescent="0.45">
      <c r="D1562" t="s">
        <v>659</v>
      </c>
    </row>
    <row r="1563" spans="4:4" x14ac:dyDescent="0.45">
      <c r="D1563" t="s">
        <v>132</v>
      </c>
    </row>
    <row r="1564" spans="4:4" x14ac:dyDescent="0.45">
      <c r="D1564" t="s">
        <v>237</v>
      </c>
    </row>
    <row r="1565" spans="4:4" x14ac:dyDescent="0.45">
      <c r="D1565" t="s">
        <v>238</v>
      </c>
    </row>
    <row r="1566" spans="4:4" x14ac:dyDescent="0.45">
      <c r="D1566" t="s">
        <v>134</v>
      </c>
    </row>
    <row r="1567" spans="4:4" x14ac:dyDescent="0.45">
      <c r="D1567" t="s">
        <v>239</v>
      </c>
    </row>
    <row r="1568" spans="4:4" x14ac:dyDescent="0.45">
      <c r="D1568" t="s">
        <v>84</v>
      </c>
    </row>
    <row r="1569" spans="4:4" x14ac:dyDescent="0.45">
      <c r="D1569" t="s">
        <v>85</v>
      </c>
    </row>
    <row r="1570" spans="4:4" x14ac:dyDescent="0.45">
      <c r="D1570" t="s">
        <v>240</v>
      </c>
    </row>
    <row r="1571" spans="4:4" x14ac:dyDescent="0.45">
      <c r="D1571" t="s">
        <v>87</v>
      </c>
    </row>
    <row r="1572" spans="4:4" x14ac:dyDescent="0.45">
      <c r="D1572" t="s">
        <v>88</v>
      </c>
    </row>
    <row r="1573" spans="4:4" x14ac:dyDescent="0.45">
      <c r="D1573" t="s">
        <v>66</v>
      </c>
    </row>
    <row r="1574" spans="4:4" x14ac:dyDescent="0.45">
      <c r="D1574" t="s">
        <v>660</v>
      </c>
    </row>
    <row r="1575" spans="4:4" x14ac:dyDescent="0.45">
      <c r="D1575" t="s">
        <v>661</v>
      </c>
    </row>
    <row r="1576" spans="4:4" x14ac:dyDescent="0.45">
      <c r="D1576" t="s">
        <v>662</v>
      </c>
    </row>
    <row r="1577" spans="4:4" x14ac:dyDescent="0.45">
      <c r="D1577" t="s">
        <v>69</v>
      </c>
    </row>
    <row r="1578" spans="4:4" x14ac:dyDescent="0.45">
      <c r="D1578" t="s">
        <v>663</v>
      </c>
    </row>
    <row r="1579" spans="4:4" x14ac:dyDescent="0.45">
      <c r="D1579" t="s">
        <v>132</v>
      </c>
    </row>
    <row r="1580" spans="4:4" x14ac:dyDescent="0.45">
      <c r="D1580" t="s">
        <v>664</v>
      </c>
    </row>
    <row r="1581" spans="4:4" x14ac:dyDescent="0.45">
      <c r="D1581" t="s">
        <v>665</v>
      </c>
    </row>
    <row r="1582" spans="4:4" x14ac:dyDescent="0.45">
      <c r="D1582" t="s">
        <v>134</v>
      </c>
    </row>
    <row r="1583" spans="4:4" x14ac:dyDescent="0.45">
      <c r="D1583" t="s">
        <v>666</v>
      </c>
    </row>
    <row r="1584" spans="4:4" x14ac:dyDescent="0.45">
      <c r="D1584" t="s">
        <v>84</v>
      </c>
    </row>
    <row r="1585" spans="4:4" x14ac:dyDescent="0.45">
      <c r="D1585" t="s">
        <v>85</v>
      </c>
    </row>
    <row r="1586" spans="4:4" x14ac:dyDescent="0.45">
      <c r="D1586" t="s">
        <v>667</v>
      </c>
    </row>
    <row r="1587" spans="4:4" x14ac:dyDescent="0.45">
      <c r="D1587" t="s">
        <v>87</v>
      </c>
    </row>
    <row r="1588" spans="4:4" x14ac:dyDescent="0.45">
      <c r="D1588" t="s">
        <v>88</v>
      </c>
    </row>
    <row r="1589" spans="4:4" x14ac:dyDescent="0.45">
      <c r="D1589" t="s">
        <v>66</v>
      </c>
    </row>
    <row r="1590" spans="4:4" x14ac:dyDescent="0.45">
      <c r="D1590" t="s">
        <v>668</v>
      </c>
    </row>
    <row r="1591" spans="4:4" x14ac:dyDescent="0.45">
      <c r="D1591" t="s">
        <v>669</v>
      </c>
    </row>
    <row r="1592" spans="4:4" x14ac:dyDescent="0.45">
      <c r="D1592" t="s">
        <v>670</v>
      </c>
    </row>
    <row r="1593" spans="4:4" x14ac:dyDescent="0.45">
      <c r="D1593" t="s">
        <v>671</v>
      </c>
    </row>
    <row r="1594" spans="4:4" x14ac:dyDescent="0.45">
      <c r="D1594" t="s">
        <v>69</v>
      </c>
    </row>
    <row r="1595" spans="4:4" x14ac:dyDescent="0.45">
      <c r="D1595" t="s">
        <v>672</v>
      </c>
    </row>
    <row r="1596" spans="4:4" x14ac:dyDescent="0.45">
      <c r="D1596" t="s">
        <v>132</v>
      </c>
    </row>
    <row r="1597" spans="4:4" x14ac:dyDescent="0.45">
      <c r="D1597" t="s">
        <v>673</v>
      </c>
    </row>
    <row r="1598" spans="4:4" x14ac:dyDescent="0.45">
      <c r="D1598" t="s">
        <v>674</v>
      </c>
    </row>
    <row r="1599" spans="4:4" x14ac:dyDescent="0.45">
      <c r="D1599" t="s">
        <v>134</v>
      </c>
    </row>
    <row r="1600" spans="4:4" x14ac:dyDescent="0.45">
      <c r="D1600" t="s">
        <v>675</v>
      </c>
    </row>
    <row r="1601" spans="4:4" x14ac:dyDescent="0.45">
      <c r="D1601" t="s">
        <v>84</v>
      </c>
    </row>
    <row r="1602" spans="4:4" x14ac:dyDescent="0.45">
      <c r="D1602" t="s">
        <v>85</v>
      </c>
    </row>
    <row r="1603" spans="4:4" x14ac:dyDescent="0.45">
      <c r="D1603" t="s">
        <v>676</v>
      </c>
    </row>
    <row r="1604" spans="4:4" x14ac:dyDescent="0.45">
      <c r="D1604" t="s">
        <v>87</v>
      </c>
    </row>
    <row r="1605" spans="4:4" x14ac:dyDescent="0.45">
      <c r="D1605" t="s">
        <v>88</v>
      </c>
    </row>
    <row r="1606" spans="4:4" x14ac:dyDescent="0.45">
      <c r="D1606" t="s">
        <v>66</v>
      </c>
    </row>
    <row r="1607" spans="4:4" x14ac:dyDescent="0.45">
      <c r="D1607" t="s">
        <v>677</v>
      </c>
    </row>
    <row r="1608" spans="4:4" x14ac:dyDescent="0.45">
      <c r="D1608" t="s">
        <v>678</v>
      </c>
    </row>
    <row r="1609" spans="4:4" x14ac:dyDescent="0.45">
      <c r="D1609" t="s">
        <v>679</v>
      </c>
    </row>
    <row r="1610" spans="4:4" x14ac:dyDescent="0.45">
      <c r="D1610" t="s">
        <v>69</v>
      </c>
    </row>
    <row r="1611" spans="4:4" x14ac:dyDescent="0.45">
      <c r="D1611" t="s">
        <v>680</v>
      </c>
    </row>
    <row r="1612" spans="4:4" x14ac:dyDescent="0.45">
      <c r="D1612" t="s">
        <v>132</v>
      </c>
    </row>
    <row r="1613" spans="4:4" x14ac:dyDescent="0.45">
      <c r="D1613" t="s">
        <v>462</v>
      </c>
    </row>
    <row r="1614" spans="4:4" x14ac:dyDescent="0.45">
      <c r="D1614" t="s">
        <v>463</v>
      </c>
    </row>
    <row r="1615" spans="4:4" x14ac:dyDescent="0.45">
      <c r="D1615" t="s">
        <v>134</v>
      </c>
    </row>
    <row r="1616" spans="4:4" x14ac:dyDescent="0.45">
      <c r="D1616" t="s">
        <v>179</v>
      </c>
    </row>
    <row r="1617" spans="4:4" x14ac:dyDescent="0.45">
      <c r="D1617" t="s">
        <v>84</v>
      </c>
    </row>
    <row r="1618" spans="4:4" x14ac:dyDescent="0.45">
      <c r="D1618" t="s">
        <v>85</v>
      </c>
    </row>
    <row r="1619" spans="4:4" x14ac:dyDescent="0.45">
      <c r="D1619" t="s">
        <v>464</v>
      </c>
    </row>
    <row r="1620" spans="4:4" x14ac:dyDescent="0.45">
      <c r="D1620" t="s">
        <v>87</v>
      </c>
    </row>
    <row r="1621" spans="4:4" x14ac:dyDescent="0.45">
      <c r="D1621" t="s">
        <v>88</v>
      </c>
    </row>
    <row r="1622" spans="4:4" x14ac:dyDescent="0.45">
      <c r="D1622" t="s">
        <v>66</v>
      </c>
    </row>
    <row r="1623" spans="4:4" x14ac:dyDescent="0.45">
      <c r="D1623" t="s">
        <v>681</v>
      </c>
    </row>
    <row r="1624" spans="4:4" x14ac:dyDescent="0.45">
      <c r="D1624" t="s">
        <v>682</v>
      </c>
    </row>
    <row r="1625" spans="4:4" x14ac:dyDescent="0.45">
      <c r="D1625" t="s">
        <v>683</v>
      </c>
    </row>
    <row r="1626" spans="4:4" x14ac:dyDescent="0.45">
      <c r="D1626" t="s">
        <v>69</v>
      </c>
    </row>
    <row r="1627" spans="4:4" x14ac:dyDescent="0.45">
      <c r="D1627" t="s">
        <v>684</v>
      </c>
    </row>
    <row r="1628" spans="4:4" x14ac:dyDescent="0.45">
      <c r="D1628" t="s">
        <v>132</v>
      </c>
    </row>
    <row r="1629" spans="4:4" x14ac:dyDescent="0.45">
      <c r="D1629" t="s">
        <v>685</v>
      </c>
    </row>
    <row r="1630" spans="4:4" x14ac:dyDescent="0.45">
      <c r="D1630" t="s">
        <v>238</v>
      </c>
    </row>
    <row r="1631" spans="4:4" x14ac:dyDescent="0.45">
      <c r="D1631" t="s">
        <v>134</v>
      </c>
    </row>
    <row r="1632" spans="4:4" x14ac:dyDescent="0.45">
      <c r="D1632" t="s">
        <v>436</v>
      </c>
    </row>
    <row r="1633" spans="4:4" x14ac:dyDescent="0.45">
      <c r="D1633" t="s">
        <v>84</v>
      </c>
    </row>
    <row r="1634" spans="4:4" x14ac:dyDescent="0.45">
      <c r="D1634" t="s">
        <v>85</v>
      </c>
    </row>
    <row r="1635" spans="4:4" x14ac:dyDescent="0.45">
      <c r="D1635" t="s">
        <v>686</v>
      </c>
    </row>
    <row r="1636" spans="4:4" x14ac:dyDescent="0.45">
      <c r="D1636" t="s">
        <v>87</v>
      </c>
    </row>
    <row r="1637" spans="4:4" x14ac:dyDescent="0.45">
      <c r="D1637" t="s">
        <v>88</v>
      </c>
    </row>
    <row r="1638" spans="4:4" x14ac:dyDescent="0.45">
      <c r="D1638" t="s">
        <v>66</v>
      </c>
    </row>
    <row r="1639" spans="4:4" x14ac:dyDescent="0.45">
      <c r="D1639" t="s">
        <v>687</v>
      </c>
    </row>
    <row r="1640" spans="4:4" x14ac:dyDescent="0.45">
      <c r="D1640" t="s">
        <v>688</v>
      </c>
    </row>
    <row r="1641" spans="4:4" x14ac:dyDescent="0.45">
      <c r="D1641" t="s">
        <v>69</v>
      </c>
    </row>
    <row r="1642" spans="4:4" x14ac:dyDescent="0.45">
      <c r="D1642" t="s">
        <v>689</v>
      </c>
    </row>
    <row r="1643" spans="4:4" x14ac:dyDescent="0.45">
      <c r="D1643" t="s">
        <v>132</v>
      </c>
    </row>
    <row r="1644" spans="4:4" x14ac:dyDescent="0.45">
      <c r="D1644" t="s">
        <v>652</v>
      </c>
    </row>
    <row r="1645" spans="4:4" x14ac:dyDescent="0.45">
      <c r="D1645" t="s">
        <v>170</v>
      </c>
    </row>
    <row r="1646" spans="4:4" x14ac:dyDescent="0.45">
      <c r="D1646" t="s">
        <v>134</v>
      </c>
    </row>
    <row r="1647" spans="4:4" x14ac:dyDescent="0.45">
      <c r="D1647" t="s">
        <v>158</v>
      </c>
    </row>
    <row r="1648" spans="4:4" x14ac:dyDescent="0.45">
      <c r="D1648" t="s">
        <v>84</v>
      </c>
    </row>
    <row r="1649" spans="4:4" x14ac:dyDescent="0.45">
      <c r="D1649" t="s">
        <v>85</v>
      </c>
    </row>
    <row r="1650" spans="4:4" x14ac:dyDescent="0.45">
      <c r="D1650" t="s">
        <v>653</v>
      </c>
    </row>
    <row r="1651" spans="4:4" x14ac:dyDescent="0.45">
      <c r="D1651" t="s">
        <v>87</v>
      </c>
    </row>
    <row r="1652" spans="4:4" x14ac:dyDescent="0.45">
      <c r="D1652" t="s">
        <v>88</v>
      </c>
    </row>
    <row r="1653" spans="4:4" x14ac:dyDescent="0.45">
      <c r="D1653" t="s">
        <v>66</v>
      </c>
    </row>
    <row r="1654" spans="4:4" x14ac:dyDescent="0.45">
      <c r="D1654" t="s">
        <v>690</v>
      </c>
    </row>
    <row r="1655" spans="4:4" x14ac:dyDescent="0.45">
      <c r="D1655" t="s">
        <v>691</v>
      </c>
    </row>
    <row r="1656" spans="4:4" x14ac:dyDescent="0.45">
      <c r="D1656" t="s">
        <v>69</v>
      </c>
    </row>
    <row r="1657" spans="4:4" x14ac:dyDescent="0.45">
      <c r="D1657" t="s">
        <v>692</v>
      </c>
    </row>
    <row r="1658" spans="4:4" x14ac:dyDescent="0.45">
      <c r="D1658" t="s">
        <v>132</v>
      </c>
    </row>
    <row r="1659" spans="4:4" x14ac:dyDescent="0.45">
      <c r="D1659" t="s">
        <v>274</v>
      </c>
    </row>
    <row r="1660" spans="4:4" x14ac:dyDescent="0.45">
      <c r="D1660" t="s">
        <v>275</v>
      </c>
    </row>
    <row r="1661" spans="4:4" x14ac:dyDescent="0.45">
      <c r="D1661" t="s">
        <v>134</v>
      </c>
    </row>
    <row r="1662" spans="4:4" x14ac:dyDescent="0.45">
      <c r="D1662" t="s">
        <v>201</v>
      </c>
    </row>
    <row r="1663" spans="4:4" x14ac:dyDescent="0.45">
      <c r="D1663" t="s">
        <v>84</v>
      </c>
    </row>
    <row r="1664" spans="4:4" x14ac:dyDescent="0.45">
      <c r="D1664" t="s">
        <v>85</v>
      </c>
    </row>
    <row r="1665" spans="4:4" x14ac:dyDescent="0.45">
      <c r="D1665" t="s">
        <v>276</v>
      </c>
    </row>
    <row r="1666" spans="4:4" x14ac:dyDescent="0.45">
      <c r="D1666" t="s">
        <v>87</v>
      </c>
    </row>
    <row r="1667" spans="4:4" x14ac:dyDescent="0.45">
      <c r="D1667" t="s">
        <v>88</v>
      </c>
    </row>
    <row r="1668" spans="4:4" x14ac:dyDescent="0.45">
      <c r="D1668" t="s">
        <v>66</v>
      </c>
    </row>
    <row r="1669" spans="4:4" x14ac:dyDescent="0.45">
      <c r="D1669" t="s">
        <v>693</v>
      </c>
    </row>
    <row r="1670" spans="4:4" x14ac:dyDescent="0.45">
      <c r="D1670" t="s">
        <v>694</v>
      </c>
    </row>
    <row r="1671" spans="4:4" x14ac:dyDescent="0.45">
      <c r="D1671" t="s">
        <v>69</v>
      </c>
    </row>
    <row r="1672" spans="4:4" x14ac:dyDescent="0.45">
      <c r="D1672" t="s">
        <v>695</v>
      </c>
    </row>
    <row r="1673" spans="4:4" x14ac:dyDescent="0.45">
      <c r="D1673" t="s">
        <v>132</v>
      </c>
    </row>
    <row r="1674" spans="4:4" x14ac:dyDescent="0.45">
      <c r="D1674" t="s">
        <v>544</v>
      </c>
    </row>
    <row r="1675" spans="4:4" x14ac:dyDescent="0.45">
      <c r="D1675" t="s">
        <v>545</v>
      </c>
    </row>
    <row r="1676" spans="4:4" x14ac:dyDescent="0.45">
      <c r="D1676" t="s">
        <v>134</v>
      </c>
    </row>
    <row r="1677" spans="4:4" x14ac:dyDescent="0.45">
      <c r="D1677" t="s">
        <v>179</v>
      </c>
    </row>
    <row r="1678" spans="4:4" x14ac:dyDescent="0.45">
      <c r="D1678" t="s">
        <v>84</v>
      </c>
    </row>
    <row r="1679" spans="4:4" x14ac:dyDescent="0.45">
      <c r="D1679" t="s">
        <v>85</v>
      </c>
    </row>
    <row r="1680" spans="4:4" x14ac:dyDescent="0.45">
      <c r="D1680" t="s">
        <v>546</v>
      </c>
    </row>
    <row r="1681" spans="4:4" x14ac:dyDescent="0.45">
      <c r="D1681" t="s">
        <v>87</v>
      </c>
    </row>
    <row r="1682" spans="4:4" x14ac:dyDescent="0.45">
      <c r="D1682" t="s">
        <v>88</v>
      </c>
    </row>
    <row r="1683" spans="4:4" x14ac:dyDescent="0.45">
      <c r="D1683" t="s">
        <v>66</v>
      </c>
    </row>
    <row r="1684" spans="4:4" x14ac:dyDescent="0.45">
      <c r="D1684" t="s">
        <v>368</v>
      </c>
    </row>
    <row r="1685" spans="4:4" x14ac:dyDescent="0.45">
      <c r="D1685" t="s">
        <v>482</v>
      </c>
    </row>
    <row r="1686" spans="4:4" x14ac:dyDescent="0.45">
      <c r="D1686" t="s">
        <v>370</v>
      </c>
    </row>
    <row r="1687" spans="4:4" x14ac:dyDescent="0.45">
      <c r="D1687" t="s">
        <v>696</v>
      </c>
    </row>
    <row r="1688" spans="4:4" x14ac:dyDescent="0.45">
      <c r="D1688" t="s">
        <v>697</v>
      </c>
    </row>
    <row r="1689" spans="4:4" x14ac:dyDescent="0.45">
      <c r="D1689" t="s">
        <v>69</v>
      </c>
    </row>
    <row r="1690" spans="4:4" x14ac:dyDescent="0.45">
      <c r="D1690" t="s">
        <v>698</v>
      </c>
    </row>
    <row r="1691" spans="4:4" x14ac:dyDescent="0.45">
      <c r="D1691" t="s">
        <v>132</v>
      </c>
    </row>
    <row r="1692" spans="4:4" x14ac:dyDescent="0.45">
      <c r="D1692" t="s">
        <v>699</v>
      </c>
    </row>
    <row r="1693" spans="4:4" x14ac:dyDescent="0.45">
      <c r="D1693" t="s">
        <v>700</v>
      </c>
    </row>
    <row r="1694" spans="4:4" x14ac:dyDescent="0.45">
      <c r="D1694" t="s">
        <v>701</v>
      </c>
    </row>
    <row r="1695" spans="4:4" x14ac:dyDescent="0.45">
      <c r="D1695" t="s">
        <v>134</v>
      </c>
    </row>
    <row r="1696" spans="4:4" x14ac:dyDescent="0.45">
      <c r="D1696" t="s">
        <v>179</v>
      </c>
    </row>
    <row r="1697" spans="4:4" x14ac:dyDescent="0.45">
      <c r="D1697" t="s">
        <v>84</v>
      </c>
    </row>
    <row r="1698" spans="4:4" x14ac:dyDescent="0.45">
      <c r="D1698" t="s">
        <v>85</v>
      </c>
    </row>
    <row r="1699" spans="4:4" x14ac:dyDescent="0.45">
      <c r="D1699" t="s">
        <v>702</v>
      </c>
    </row>
    <row r="1700" spans="4:4" x14ac:dyDescent="0.45">
      <c r="D1700" t="s">
        <v>87</v>
      </c>
    </row>
    <row r="1701" spans="4:4" x14ac:dyDescent="0.45">
      <c r="D1701" t="s">
        <v>88</v>
      </c>
    </row>
    <row r="1702" spans="4:4" x14ac:dyDescent="0.45">
      <c r="D1702" t="s">
        <v>66</v>
      </c>
    </row>
    <row r="1703" spans="4:4" x14ac:dyDescent="0.45">
      <c r="D1703" t="s">
        <v>703</v>
      </c>
    </row>
    <row r="1704" spans="4:4" x14ac:dyDescent="0.45">
      <c r="D1704" t="s">
        <v>704</v>
      </c>
    </row>
    <row r="1705" spans="4:4" x14ac:dyDescent="0.45">
      <c r="D1705" t="s">
        <v>705</v>
      </c>
    </row>
    <row r="1706" spans="4:4" x14ac:dyDescent="0.45">
      <c r="D1706" t="s">
        <v>69</v>
      </c>
    </row>
    <row r="1707" spans="4:4" x14ac:dyDescent="0.45">
      <c r="D1707" t="s">
        <v>706</v>
      </c>
    </row>
    <row r="1708" spans="4:4" x14ac:dyDescent="0.45">
      <c r="D1708" t="s">
        <v>132</v>
      </c>
    </row>
    <row r="1709" spans="4:4" x14ac:dyDescent="0.45">
      <c r="D1709" t="s">
        <v>707</v>
      </c>
    </row>
    <row r="1710" spans="4:4" x14ac:dyDescent="0.45">
      <c r="D1710" t="s">
        <v>708</v>
      </c>
    </row>
    <row r="1711" spans="4:4" x14ac:dyDescent="0.45">
      <c r="D1711" t="s">
        <v>134</v>
      </c>
    </row>
    <row r="1712" spans="4:4" x14ac:dyDescent="0.45">
      <c r="D1712" t="s">
        <v>327</v>
      </c>
    </row>
    <row r="1713" spans="4:4" x14ac:dyDescent="0.45">
      <c r="D1713" t="s">
        <v>84</v>
      </c>
    </row>
    <row r="1714" spans="4:4" x14ac:dyDescent="0.45">
      <c r="D1714" t="s">
        <v>85</v>
      </c>
    </row>
    <row r="1715" spans="4:4" x14ac:dyDescent="0.45">
      <c r="D1715" t="s">
        <v>709</v>
      </c>
    </row>
    <row r="1716" spans="4:4" x14ac:dyDescent="0.45">
      <c r="D1716" t="s">
        <v>87</v>
      </c>
    </row>
    <row r="1717" spans="4:4" x14ac:dyDescent="0.45">
      <c r="D1717" t="s">
        <v>88</v>
      </c>
    </row>
    <row r="1718" spans="4:4" x14ac:dyDescent="0.45">
      <c r="D1718" t="s">
        <v>66</v>
      </c>
    </row>
    <row r="1719" spans="4:4" x14ac:dyDescent="0.45">
      <c r="D1719" t="s">
        <v>710</v>
      </c>
    </row>
    <row r="1720" spans="4:4" x14ac:dyDescent="0.45">
      <c r="D1720" t="s">
        <v>711</v>
      </c>
    </row>
    <row r="1721" spans="4:4" x14ac:dyDescent="0.45">
      <c r="D1721" t="s">
        <v>712</v>
      </c>
    </row>
    <row r="1722" spans="4:4" x14ac:dyDescent="0.45">
      <c r="D1722" t="s">
        <v>69</v>
      </c>
    </row>
    <row r="1723" spans="4:4" x14ac:dyDescent="0.45">
      <c r="D1723" t="s">
        <v>713</v>
      </c>
    </row>
    <row r="1724" spans="4:4" x14ac:dyDescent="0.45">
      <c r="D1724" t="s">
        <v>132</v>
      </c>
    </row>
    <row r="1725" spans="4:4" x14ac:dyDescent="0.45">
      <c r="D1725" t="s">
        <v>267</v>
      </c>
    </row>
    <row r="1726" spans="4:4" x14ac:dyDescent="0.45">
      <c r="D1726" t="s">
        <v>268</v>
      </c>
    </row>
    <row r="1727" spans="4:4" x14ac:dyDescent="0.45">
      <c r="D1727" t="s">
        <v>134</v>
      </c>
    </row>
    <row r="1728" spans="4:4" x14ac:dyDescent="0.45">
      <c r="D1728" t="s">
        <v>201</v>
      </c>
    </row>
    <row r="1729" spans="4:4" x14ac:dyDescent="0.45">
      <c r="D1729" t="s">
        <v>84</v>
      </c>
    </row>
    <row r="1730" spans="4:4" x14ac:dyDescent="0.45">
      <c r="D1730" t="s">
        <v>85</v>
      </c>
    </row>
    <row r="1731" spans="4:4" x14ac:dyDescent="0.45">
      <c r="D1731" t="s">
        <v>269</v>
      </c>
    </row>
    <row r="1732" spans="4:4" x14ac:dyDescent="0.45">
      <c r="D1732" t="s">
        <v>87</v>
      </c>
    </row>
    <row r="1733" spans="4:4" x14ac:dyDescent="0.45">
      <c r="D1733" t="s">
        <v>88</v>
      </c>
    </row>
    <row r="1734" spans="4:4" x14ac:dyDescent="0.45">
      <c r="D1734" t="s">
        <v>66</v>
      </c>
    </row>
    <row r="1735" spans="4:4" x14ac:dyDescent="0.45">
      <c r="D1735" t="s">
        <v>714</v>
      </c>
    </row>
    <row r="1736" spans="4:4" x14ac:dyDescent="0.45">
      <c r="D1736" t="s">
        <v>715</v>
      </c>
    </row>
    <row r="1737" spans="4:4" x14ac:dyDescent="0.45">
      <c r="D1737" t="s">
        <v>69</v>
      </c>
    </row>
    <row r="1738" spans="4:4" x14ac:dyDescent="0.45">
      <c r="D1738" t="s">
        <v>716</v>
      </c>
    </row>
    <row r="1739" spans="4:4" x14ac:dyDescent="0.45">
      <c r="D1739" t="s">
        <v>132</v>
      </c>
    </row>
    <row r="1740" spans="4:4" x14ac:dyDescent="0.45">
      <c r="D1740" t="s">
        <v>426</v>
      </c>
    </row>
    <row r="1741" spans="4:4" x14ac:dyDescent="0.45">
      <c r="D1741" t="s">
        <v>427</v>
      </c>
    </row>
    <row r="1742" spans="4:4" x14ac:dyDescent="0.45">
      <c r="D1742" t="s">
        <v>134</v>
      </c>
    </row>
    <row r="1743" spans="4:4" x14ac:dyDescent="0.45">
      <c r="D1743" t="s">
        <v>239</v>
      </c>
    </row>
    <row r="1744" spans="4:4" x14ac:dyDescent="0.45">
      <c r="D1744" t="s">
        <v>84</v>
      </c>
    </row>
    <row r="1745" spans="4:4" x14ac:dyDescent="0.45">
      <c r="D1745" t="s">
        <v>85</v>
      </c>
    </row>
    <row r="1746" spans="4:4" x14ac:dyDescent="0.45">
      <c r="D1746" t="s">
        <v>428</v>
      </c>
    </row>
    <row r="1747" spans="4:4" x14ac:dyDescent="0.45">
      <c r="D1747" t="s">
        <v>87</v>
      </c>
    </row>
    <row r="1748" spans="4:4" x14ac:dyDescent="0.45">
      <c r="D1748" t="s">
        <v>88</v>
      </c>
    </row>
    <row r="1749" spans="4:4" x14ac:dyDescent="0.45">
      <c r="D1749" t="s">
        <v>66</v>
      </c>
    </row>
    <row r="1750" spans="4:4" x14ac:dyDescent="0.45">
      <c r="D1750" t="s">
        <v>717</v>
      </c>
    </row>
    <row r="1751" spans="4:4" x14ac:dyDescent="0.45">
      <c r="D1751" t="s">
        <v>718</v>
      </c>
    </row>
    <row r="1752" spans="4:4" x14ac:dyDescent="0.45">
      <c r="D1752" t="s">
        <v>719</v>
      </c>
    </row>
    <row r="1753" spans="4:4" x14ac:dyDescent="0.45">
      <c r="D1753" t="s">
        <v>720</v>
      </c>
    </row>
    <row r="1754" spans="4:4" x14ac:dyDescent="0.45">
      <c r="D1754" t="s">
        <v>721</v>
      </c>
    </row>
    <row r="1755" spans="4:4" x14ac:dyDescent="0.45">
      <c r="D1755" t="s">
        <v>722</v>
      </c>
    </row>
    <row r="1756" spans="4:4" x14ac:dyDescent="0.45">
      <c r="D1756" t="s">
        <v>723</v>
      </c>
    </row>
    <row r="1757" spans="4:4" x14ac:dyDescent="0.45">
      <c r="D1757" t="s">
        <v>69</v>
      </c>
    </row>
    <row r="1758" spans="4:4" x14ac:dyDescent="0.45">
      <c r="D1758" t="s">
        <v>724</v>
      </c>
    </row>
    <row r="1759" spans="4:4" x14ac:dyDescent="0.45">
      <c r="D1759" t="s">
        <v>132</v>
      </c>
    </row>
    <row r="1760" spans="4:4" x14ac:dyDescent="0.45">
      <c r="D1760" t="s">
        <v>725</v>
      </c>
    </row>
    <row r="1761" spans="4:4" x14ac:dyDescent="0.45">
      <c r="D1761" t="s">
        <v>726</v>
      </c>
    </row>
    <row r="1762" spans="4:4" x14ac:dyDescent="0.45">
      <c r="D1762" t="s">
        <v>727</v>
      </c>
    </row>
    <row r="1763" spans="4:4" x14ac:dyDescent="0.45">
      <c r="D1763" t="s">
        <v>378</v>
      </c>
    </row>
    <row r="1764" spans="4:4" x14ac:dyDescent="0.45">
      <c r="D1764" t="s">
        <v>134</v>
      </c>
    </row>
    <row r="1765" spans="4:4" x14ac:dyDescent="0.45">
      <c r="D1765" t="s">
        <v>179</v>
      </c>
    </row>
    <row r="1766" spans="4:4" x14ac:dyDescent="0.45">
      <c r="D1766" t="s">
        <v>84</v>
      </c>
    </row>
    <row r="1767" spans="4:4" x14ac:dyDescent="0.45">
      <c r="D1767" t="s">
        <v>85</v>
      </c>
    </row>
    <row r="1768" spans="4:4" x14ac:dyDescent="0.45">
      <c r="D1768" t="s">
        <v>728</v>
      </c>
    </row>
    <row r="1769" spans="4:4" x14ac:dyDescent="0.45">
      <c r="D1769" t="s">
        <v>87</v>
      </c>
    </row>
    <row r="1770" spans="4:4" x14ac:dyDescent="0.45">
      <c r="D1770" t="s">
        <v>88</v>
      </c>
    </row>
    <row r="1771" spans="4:4" x14ac:dyDescent="0.45">
      <c r="D1771" t="s">
        <v>66</v>
      </c>
    </row>
    <row r="1772" spans="4:4" x14ac:dyDescent="0.45">
      <c r="D1772" t="s">
        <v>605</v>
      </c>
    </row>
    <row r="1773" spans="4:4" x14ac:dyDescent="0.45">
      <c r="D1773" t="s">
        <v>729</v>
      </c>
    </row>
    <row r="1774" spans="4:4" x14ac:dyDescent="0.45">
      <c r="D1774" t="s">
        <v>607</v>
      </c>
    </row>
    <row r="1775" spans="4:4" x14ac:dyDescent="0.45">
      <c r="D1775" t="s">
        <v>730</v>
      </c>
    </row>
    <row r="1776" spans="4:4" x14ac:dyDescent="0.45">
      <c r="D1776" t="s">
        <v>731</v>
      </c>
    </row>
    <row r="1777" spans="4:4" x14ac:dyDescent="0.45">
      <c r="D1777" t="s">
        <v>69</v>
      </c>
    </row>
    <row r="1778" spans="4:4" x14ac:dyDescent="0.45">
      <c r="D1778" t="s">
        <v>732</v>
      </c>
    </row>
    <row r="1779" spans="4:4" x14ac:dyDescent="0.45">
      <c r="D1779" t="s">
        <v>132</v>
      </c>
    </row>
    <row r="1780" spans="4:4" x14ac:dyDescent="0.45">
      <c r="D1780" t="s">
        <v>630</v>
      </c>
    </row>
    <row r="1781" spans="4:4" x14ac:dyDescent="0.45">
      <c r="D1781" t="s">
        <v>733</v>
      </c>
    </row>
    <row r="1782" spans="4:4" x14ac:dyDescent="0.45">
      <c r="D1782" t="s">
        <v>734</v>
      </c>
    </row>
    <row r="1783" spans="4:4" x14ac:dyDescent="0.45">
      <c r="D1783" t="s">
        <v>633</v>
      </c>
    </row>
    <row r="1784" spans="4:4" x14ac:dyDescent="0.45">
      <c r="D1784" t="s">
        <v>134</v>
      </c>
    </row>
    <row r="1785" spans="4:4" x14ac:dyDescent="0.45">
      <c r="D1785" t="s">
        <v>179</v>
      </c>
    </row>
    <row r="1786" spans="4:4" x14ac:dyDescent="0.45">
      <c r="D1786" t="s">
        <v>84</v>
      </c>
    </row>
    <row r="1787" spans="4:4" x14ac:dyDescent="0.45">
      <c r="D1787" t="s">
        <v>85</v>
      </c>
    </row>
    <row r="1788" spans="4:4" x14ac:dyDescent="0.45">
      <c r="D1788" t="s">
        <v>634</v>
      </c>
    </row>
    <row r="1789" spans="4:4" x14ac:dyDescent="0.45">
      <c r="D1789" t="s">
        <v>87</v>
      </c>
    </row>
    <row r="1790" spans="4:4" x14ac:dyDescent="0.45">
      <c r="D1790" t="s">
        <v>88</v>
      </c>
    </row>
    <row r="1791" spans="4:4" x14ac:dyDescent="0.45">
      <c r="D1791" t="s">
        <v>66</v>
      </c>
    </row>
    <row r="1792" spans="4:4" x14ac:dyDescent="0.45">
      <c r="D1792" t="s">
        <v>735</v>
      </c>
    </row>
    <row r="1793" spans="4:4" x14ac:dyDescent="0.45">
      <c r="D1793" t="s">
        <v>736</v>
      </c>
    </row>
    <row r="1794" spans="4:4" x14ac:dyDescent="0.45">
      <c r="D1794" t="s">
        <v>69</v>
      </c>
    </row>
    <row r="1795" spans="4:4" x14ac:dyDescent="0.45">
      <c r="D1795" t="s">
        <v>737</v>
      </c>
    </row>
    <row r="1796" spans="4:4" x14ac:dyDescent="0.45">
      <c r="D1796" t="s">
        <v>132</v>
      </c>
    </row>
    <row r="1797" spans="4:4" x14ac:dyDescent="0.45">
      <c r="D1797" t="s">
        <v>237</v>
      </c>
    </row>
    <row r="1798" spans="4:4" x14ac:dyDescent="0.45">
      <c r="D1798" t="s">
        <v>238</v>
      </c>
    </row>
    <row r="1799" spans="4:4" x14ac:dyDescent="0.45">
      <c r="D1799" t="s">
        <v>134</v>
      </c>
    </row>
    <row r="1800" spans="4:4" x14ac:dyDescent="0.45">
      <c r="D1800" t="s">
        <v>239</v>
      </c>
    </row>
    <row r="1801" spans="4:4" x14ac:dyDescent="0.45">
      <c r="D1801" t="s">
        <v>84</v>
      </c>
    </row>
    <row r="1802" spans="4:4" x14ac:dyDescent="0.45">
      <c r="D1802" t="s">
        <v>85</v>
      </c>
    </row>
    <row r="1803" spans="4:4" x14ac:dyDescent="0.45">
      <c r="D1803" t="s">
        <v>240</v>
      </c>
    </row>
    <row r="1804" spans="4:4" x14ac:dyDescent="0.45">
      <c r="D1804" t="s">
        <v>87</v>
      </c>
    </row>
    <row r="1805" spans="4:4" x14ac:dyDescent="0.45">
      <c r="D1805" t="s">
        <v>88</v>
      </c>
    </row>
    <row r="1806" spans="4:4" x14ac:dyDescent="0.45">
      <c r="D1806" t="s">
        <v>66</v>
      </c>
    </row>
    <row r="1807" spans="4:4" x14ac:dyDescent="0.45">
      <c r="D1807" t="s">
        <v>738</v>
      </c>
    </row>
    <row r="1808" spans="4:4" x14ac:dyDescent="0.45">
      <c r="D1808" t="s">
        <v>739</v>
      </c>
    </row>
    <row r="1809" spans="4:4" x14ac:dyDescent="0.45">
      <c r="D1809" t="s">
        <v>69</v>
      </c>
    </row>
    <row r="1810" spans="4:4" x14ac:dyDescent="0.45">
      <c r="D1810" t="s">
        <v>740</v>
      </c>
    </row>
    <row r="1811" spans="4:4" x14ac:dyDescent="0.45">
      <c r="D1811" t="s">
        <v>132</v>
      </c>
    </row>
    <row r="1812" spans="4:4" x14ac:dyDescent="0.45">
      <c r="D1812" t="s">
        <v>250</v>
      </c>
    </row>
    <row r="1813" spans="4:4" x14ac:dyDescent="0.45">
      <c r="D1813" t="s">
        <v>134</v>
      </c>
    </row>
    <row r="1814" spans="4:4" x14ac:dyDescent="0.45">
      <c r="D1814" t="s">
        <v>251</v>
      </c>
    </row>
    <row r="1815" spans="4:4" x14ac:dyDescent="0.45">
      <c r="D1815" t="s">
        <v>84</v>
      </c>
    </row>
    <row r="1816" spans="4:4" x14ac:dyDescent="0.45">
      <c r="D1816" t="s">
        <v>85</v>
      </c>
    </row>
    <row r="1817" spans="4:4" x14ac:dyDescent="0.45">
      <c r="D1817" t="s">
        <v>252</v>
      </c>
    </row>
    <row r="1818" spans="4:4" x14ac:dyDescent="0.45">
      <c r="D1818" t="s">
        <v>87</v>
      </c>
    </row>
    <row r="1819" spans="4:4" x14ac:dyDescent="0.45">
      <c r="D1819" t="s">
        <v>88</v>
      </c>
    </row>
    <row r="1820" spans="4:4" x14ac:dyDescent="0.45">
      <c r="D1820" t="s">
        <v>66</v>
      </c>
    </row>
    <row r="1821" spans="4:4" x14ac:dyDescent="0.45">
      <c r="D1821" t="s">
        <v>741</v>
      </c>
    </row>
    <row r="1822" spans="4:4" x14ac:dyDescent="0.45">
      <c r="D1822" t="s">
        <v>742</v>
      </c>
    </row>
    <row r="1823" spans="4:4" x14ac:dyDescent="0.45">
      <c r="D1823" t="s">
        <v>743</v>
      </c>
    </row>
    <row r="1824" spans="4:4" x14ac:dyDescent="0.45">
      <c r="D1824" t="s">
        <v>69</v>
      </c>
    </row>
    <row r="1825" spans="4:4" x14ac:dyDescent="0.45">
      <c r="D1825" t="s">
        <v>744</v>
      </c>
    </row>
    <row r="1826" spans="4:4" x14ac:dyDescent="0.45">
      <c r="D1826" t="s">
        <v>132</v>
      </c>
    </row>
    <row r="1827" spans="4:4" x14ac:dyDescent="0.45">
      <c r="D1827" t="s">
        <v>745</v>
      </c>
    </row>
    <row r="1828" spans="4:4" x14ac:dyDescent="0.45">
      <c r="D1828" t="s">
        <v>298</v>
      </c>
    </row>
    <row r="1829" spans="4:4" x14ac:dyDescent="0.45">
      <c r="D1829" t="s">
        <v>134</v>
      </c>
    </row>
    <row r="1830" spans="4:4" x14ac:dyDescent="0.45">
      <c r="D1830" t="s">
        <v>327</v>
      </c>
    </row>
    <row r="1831" spans="4:4" x14ac:dyDescent="0.45">
      <c r="D1831" t="s">
        <v>84</v>
      </c>
    </row>
    <row r="1832" spans="4:4" x14ac:dyDescent="0.45">
      <c r="D1832" t="s">
        <v>85</v>
      </c>
    </row>
    <row r="1833" spans="4:4" x14ac:dyDescent="0.45">
      <c r="D1833" t="s">
        <v>746</v>
      </c>
    </row>
    <row r="1834" spans="4:4" x14ac:dyDescent="0.45">
      <c r="D1834" t="s">
        <v>87</v>
      </c>
    </row>
    <row r="1835" spans="4:4" x14ac:dyDescent="0.45">
      <c r="D1835" t="s">
        <v>88</v>
      </c>
    </row>
    <row r="1836" spans="4:4" x14ac:dyDescent="0.45">
      <c r="D1836" t="s">
        <v>66</v>
      </c>
    </row>
    <row r="1837" spans="4:4" x14ac:dyDescent="0.45">
      <c r="D1837" t="s">
        <v>747</v>
      </c>
    </row>
    <row r="1838" spans="4:4" x14ac:dyDescent="0.45">
      <c r="D1838" t="s">
        <v>748</v>
      </c>
    </row>
    <row r="1839" spans="4:4" x14ac:dyDescent="0.45">
      <c r="D1839" t="s">
        <v>69</v>
      </c>
    </row>
    <row r="1840" spans="4:4" x14ac:dyDescent="0.45">
      <c r="D1840" t="s">
        <v>749</v>
      </c>
    </row>
    <row r="1841" spans="4:4" x14ac:dyDescent="0.45">
      <c r="D1841" t="s">
        <v>132</v>
      </c>
    </row>
    <row r="1842" spans="4:4" x14ac:dyDescent="0.45">
      <c r="D1842" t="s">
        <v>199</v>
      </c>
    </row>
    <row r="1843" spans="4:4" x14ac:dyDescent="0.45">
      <c r="D1843" t="s">
        <v>200</v>
      </c>
    </row>
    <row r="1844" spans="4:4" x14ac:dyDescent="0.45">
      <c r="D1844" t="s">
        <v>134</v>
      </c>
    </row>
    <row r="1845" spans="4:4" x14ac:dyDescent="0.45">
      <c r="D1845" t="s">
        <v>201</v>
      </c>
    </row>
    <row r="1846" spans="4:4" x14ac:dyDescent="0.45">
      <c r="D1846" t="s">
        <v>84</v>
      </c>
    </row>
    <row r="1847" spans="4:4" x14ac:dyDescent="0.45">
      <c r="D1847" t="s">
        <v>85</v>
      </c>
    </row>
    <row r="1848" spans="4:4" x14ac:dyDescent="0.45">
      <c r="D1848" t="s">
        <v>202</v>
      </c>
    </row>
    <row r="1849" spans="4:4" x14ac:dyDescent="0.45">
      <c r="D1849" t="s">
        <v>87</v>
      </c>
    </row>
    <row r="1850" spans="4:4" x14ac:dyDescent="0.45">
      <c r="D1850" t="s">
        <v>88</v>
      </c>
    </row>
    <row r="1851" spans="4:4" x14ac:dyDescent="0.45">
      <c r="D1851" t="s">
        <v>66</v>
      </c>
    </row>
    <row r="1852" spans="4:4" x14ac:dyDescent="0.45">
      <c r="D1852" t="s">
        <v>750</v>
      </c>
    </row>
    <row r="1853" spans="4:4" x14ac:dyDescent="0.45">
      <c r="D1853" t="s">
        <v>751</v>
      </c>
    </row>
    <row r="1854" spans="4:4" x14ac:dyDescent="0.45">
      <c r="D1854" t="s">
        <v>69</v>
      </c>
    </row>
    <row r="1855" spans="4:4" x14ac:dyDescent="0.45">
      <c r="D1855" t="s">
        <v>752</v>
      </c>
    </row>
    <row r="1856" spans="4:4" x14ac:dyDescent="0.45">
      <c r="D1856" t="s">
        <v>132</v>
      </c>
    </row>
    <row r="1857" spans="4:4" x14ac:dyDescent="0.45">
      <c r="D1857" t="s">
        <v>274</v>
      </c>
    </row>
    <row r="1858" spans="4:4" x14ac:dyDescent="0.45">
      <c r="D1858" t="s">
        <v>275</v>
      </c>
    </row>
    <row r="1859" spans="4:4" x14ac:dyDescent="0.45">
      <c r="D1859" t="s">
        <v>134</v>
      </c>
    </row>
    <row r="1860" spans="4:4" x14ac:dyDescent="0.45">
      <c r="D1860" t="s">
        <v>201</v>
      </c>
    </row>
    <row r="1861" spans="4:4" x14ac:dyDescent="0.45">
      <c r="D1861" t="s">
        <v>84</v>
      </c>
    </row>
    <row r="1862" spans="4:4" x14ac:dyDescent="0.45">
      <c r="D1862" t="s">
        <v>85</v>
      </c>
    </row>
    <row r="1863" spans="4:4" x14ac:dyDescent="0.45">
      <c r="D1863" t="s">
        <v>276</v>
      </c>
    </row>
    <row r="1864" spans="4:4" x14ac:dyDescent="0.45">
      <c r="D1864" t="s">
        <v>87</v>
      </c>
    </row>
    <row r="1865" spans="4:4" x14ac:dyDescent="0.45">
      <c r="D1865" t="s">
        <v>88</v>
      </c>
    </row>
    <row r="1866" spans="4:4" x14ac:dyDescent="0.45">
      <c r="D1866" t="s">
        <v>66</v>
      </c>
    </row>
    <row r="1867" spans="4:4" x14ac:dyDescent="0.45">
      <c r="D1867" t="s">
        <v>753</v>
      </c>
    </row>
    <row r="1868" spans="4:4" x14ac:dyDescent="0.45">
      <c r="D1868" t="s">
        <v>754</v>
      </c>
    </row>
    <row r="1869" spans="4:4" x14ac:dyDescent="0.45">
      <c r="D1869" t="s">
        <v>69</v>
      </c>
    </row>
    <row r="1870" spans="4:4" x14ac:dyDescent="0.45">
      <c r="D1870" t="s">
        <v>755</v>
      </c>
    </row>
    <row r="1871" spans="4:4" x14ac:dyDescent="0.45">
      <c r="D1871" t="s">
        <v>132</v>
      </c>
    </row>
    <row r="1872" spans="4:4" x14ac:dyDescent="0.45">
      <c r="D1872" t="s">
        <v>280</v>
      </c>
    </row>
    <row r="1873" spans="4:4" x14ac:dyDescent="0.45">
      <c r="D1873" t="s">
        <v>281</v>
      </c>
    </row>
    <row r="1874" spans="4:4" x14ac:dyDescent="0.45">
      <c r="D1874" t="s">
        <v>134</v>
      </c>
    </row>
    <row r="1875" spans="4:4" x14ac:dyDescent="0.45">
      <c r="D1875" t="s">
        <v>201</v>
      </c>
    </row>
    <row r="1876" spans="4:4" x14ac:dyDescent="0.45">
      <c r="D1876" t="s">
        <v>84</v>
      </c>
    </row>
    <row r="1877" spans="4:4" x14ac:dyDescent="0.45">
      <c r="D1877" t="s">
        <v>85</v>
      </c>
    </row>
    <row r="1878" spans="4:4" x14ac:dyDescent="0.45">
      <c r="D1878" t="s">
        <v>282</v>
      </c>
    </row>
    <row r="1879" spans="4:4" x14ac:dyDescent="0.45">
      <c r="D1879" t="s">
        <v>87</v>
      </c>
    </row>
    <row r="1880" spans="4:4" x14ac:dyDescent="0.45">
      <c r="D1880" t="s">
        <v>88</v>
      </c>
    </row>
    <row r="1881" spans="4:4" x14ac:dyDescent="0.45">
      <c r="D1881" t="s">
        <v>66</v>
      </c>
    </row>
    <row r="1882" spans="4:4" x14ac:dyDescent="0.45">
      <c r="D1882" t="s">
        <v>756</v>
      </c>
    </row>
    <row r="1883" spans="4:4" x14ac:dyDescent="0.45">
      <c r="D1883" t="s">
        <v>757</v>
      </c>
    </row>
    <row r="1884" spans="4:4" x14ac:dyDescent="0.45">
      <c r="D1884" t="s">
        <v>758</v>
      </c>
    </row>
    <row r="1885" spans="4:4" x14ac:dyDescent="0.45">
      <c r="D1885" t="s">
        <v>759</v>
      </c>
    </row>
    <row r="1886" spans="4:4" x14ac:dyDescent="0.45">
      <c r="D1886" t="s">
        <v>69</v>
      </c>
    </row>
    <row r="1887" spans="4:4" x14ac:dyDescent="0.45">
      <c r="D1887" t="s">
        <v>760</v>
      </c>
    </row>
    <row r="1888" spans="4:4" x14ac:dyDescent="0.45">
      <c r="D1888" t="s">
        <v>132</v>
      </c>
    </row>
    <row r="1889" spans="4:4" x14ac:dyDescent="0.45">
      <c r="D1889" t="s">
        <v>761</v>
      </c>
    </row>
    <row r="1890" spans="4:4" x14ac:dyDescent="0.45">
      <c r="D1890" t="s">
        <v>674</v>
      </c>
    </row>
    <row r="1891" spans="4:4" x14ac:dyDescent="0.45">
      <c r="D1891" t="s">
        <v>134</v>
      </c>
    </row>
    <row r="1892" spans="4:4" x14ac:dyDescent="0.45">
      <c r="D1892" t="s">
        <v>251</v>
      </c>
    </row>
    <row r="1893" spans="4:4" x14ac:dyDescent="0.45">
      <c r="D1893" t="s">
        <v>84</v>
      </c>
    </row>
    <row r="1894" spans="4:4" x14ac:dyDescent="0.45">
      <c r="D1894" t="s">
        <v>85</v>
      </c>
    </row>
    <row r="1895" spans="4:4" x14ac:dyDescent="0.45">
      <c r="D1895" t="s">
        <v>762</v>
      </c>
    </row>
    <row r="1896" spans="4:4" x14ac:dyDescent="0.45">
      <c r="D1896" t="s">
        <v>87</v>
      </c>
    </row>
    <row r="1897" spans="4:4" x14ac:dyDescent="0.45">
      <c r="D1897" t="s">
        <v>88</v>
      </c>
    </row>
    <row r="1898" spans="4:4" x14ac:dyDescent="0.45">
      <c r="D1898" t="s">
        <v>66</v>
      </c>
    </row>
    <row r="1899" spans="4:4" x14ac:dyDescent="0.45">
      <c r="D1899" t="s">
        <v>763</v>
      </c>
    </row>
    <row r="1900" spans="4:4" x14ac:dyDescent="0.45">
      <c r="D1900" t="s">
        <v>764</v>
      </c>
    </row>
    <row r="1901" spans="4:4" x14ac:dyDescent="0.45">
      <c r="D1901" t="s">
        <v>69</v>
      </c>
    </row>
    <row r="1902" spans="4:4" x14ac:dyDescent="0.45">
      <c r="D1902" t="s">
        <v>765</v>
      </c>
    </row>
    <row r="1903" spans="4:4" x14ac:dyDescent="0.45">
      <c r="D1903" t="s">
        <v>132</v>
      </c>
    </row>
    <row r="1904" spans="4:4" x14ac:dyDescent="0.45">
      <c r="D1904" t="s">
        <v>426</v>
      </c>
    </row>
    <row r="1905" spans="4:4" x14ac:dyDescent="0.45">
      <c r="D1905" t="s">
        <v>427</v>
      </c>
    </row>
    <row r="1906" spans="4:4" x14ac:dyDescent="0.45">
      <c r="D1906" t="s">
        <v>134</v>
      </c>
    </row>
    <row r="1907" spans="4:4" x14ac:dyDescent="0.45">
      <c r="D1907" t="s">
        <v>239</v>
      </c>
    </row>
    <row r="1908" spans="4:4" x14ac:dyDescent="0.45">
      <c r="D1908" t="s">
        <v>84</v>
      </c>
    </row>
    <row r="1909" spans="4:4" x14ac:dyDescent="0.45">
      <c r="D1909" t="s">
        <v>85</v>
      </c>
    </row>
    <row r="1910" spans="4:4" x14ac:dyDescent="0.45">
      <c r="D1910" t="s">
        <v>428</v>
      </c>
    </row>
    <row r="1911" spans="4:4" x14ac:dyDescent="0.45">
      <c r="D1911" t="s">
        <v>87</v>
      </c>
    </row>
    <row r="1912" spans="4:4" x14ac:dyDescent="0.45">
      <c r="D1912" t="s">
        <v>88</v>
      </c>
    </row>
    <row r="1913" spans="4:4" x14ac:dyDescent="0.45">
      <c r="D1913" t="s">
        <v>66</v>
      </c>
    </row>
    <row r="1914" spans="4:4" x14ac:dyDescent="0.45">
      <c r="D1914" t="s">
        <v>766</v>
      </c>
    </row>
    <row r="1915" spans="4:4" x14ac:dyDescent="0.45">
      <c r="D1915" t="s">
        <v>767</v>
      </c>
    </row>
    <row r="1916" spans="4:4" x14ac:dyDescent="0.45">
      <c r="D1916" t="s">
        <v>69</v>
      </c>
    </row>
    <row r="1917" spans="4:4" x14ac:dyDescent="0.45">
      <c r="D1917" t="s">
        <v>768</v>
      </c>
    </row>
    <row r="1918" spans="4:4" x14ac:dyDescent="0.45">
      <c r="D1918" t="s">
        <v>132</v>
      </c>
    </row>
    <row r="1919" spans="4:4" x14ac:dyDescent="0.45">
      <c r="D1919" t="s">
        <v>652</v>
      </c>
    </row>
    <row r="1920" spans="4:4" x14ac:dyDescent="0.45">
      <c r="D1920" t="s">
        <v>170</v>
      </c>
    </row>
    <row r="1921" spans="4:4" x14ac:dyDescent="0.45">
      <c r="D1921" t="s">
        <v>134</v>
      </c>
    </row>
    <row r="1922" spans="4:4" x14ac:dyDescent="0.45">
      <c r="D1922" t="s">
        <v>158</v>
      </c>
    </row>
    <row r="1923" spans="4:4" x14ac:dyDescent="0.45">
      <c r="D1923" t="s">
        <v>84</v>
      </c>
    </row>
    <row r="1924" spans="4:4" x14ac:dyDescent="0.45">
      <c r="D1924" t="s">
        <v>85</v>
      </c>
    </row>
    <row r="1925" spans="4:4" x14ac:dyDescent="0.45">
      <c r="D1925" t="s">
        <v>653</v>
      </c>
    </row>
    <row r="1926" spans="4:4" x14ac:dyDescent="0.45">
      <c r="D1926" t="s">
        <v>87</v>
      </c>
    </row>
    <row r="1927" spans="4:4" x14ac:dyDescent="0.45">
      <c r="D1927" t="s">
        <v>88</v>
      </c>
    </row>
    <row r="1928" spans="4:4" x14ac:dyDescent="0.45">
      <c r="D1928" t="s">
        <v>66</v>
      </c>
    </row>
    <row r="1929" spans="4:4" x14ac:dyDescent="0.45">
      <c r="D1929" t="s">
        <v>769</v>
      </c>
    </row>
    <row r="1930" spans="4:4" x14ac:dyDescent="0.45">
      <c r="D1930" t="s">
        <v>770</v>
      </c>
    </row>
    <row r="1931" spans="4:4" x14ac:dyDescent="0.45">
      <c r="D1931" t="s">
        <v>771</v>
      </c>
    </row>
    <row r="1932" spans="4:4" x14ac:dyDescent="0.45">
      <c r="D1932" t="s">
        <v>69</v>
      </c>
    </row>
    <row r="1933" spans="4:4" x14ac:dyDescent="0.45">
      <c r="D1933" t="s">
        <v>772</v>
      </c>
    </row>
    <row r="1934" spans="4:4" x14ac:dyDescent="0.45">
      <c r="D1934" t="s">
        <v>132</v>
      </c>
    </row>
    <row r="1935" spans="4:4" x14ac:dyDescent="0.45">
      <c r="D1935" t="s">
        <v>207</v>
      </c>
    </row>
    <row r="1936" spans="4:4" x14ac:dyDescent="0.45">
      <c r="D1936" t="s">
        <v>208</v>
      </c>
    </row>
    <row r="1937" spans="4:4" x14ac:dyDescent="0.45">
      <c r="D1937" t="s">
        <v>134</v>
      </c>
    </row>
    <row r="1938" spans="4:4" x14ac:dyDescent="0.45">
      <c r="D1938" t="s">
        <v>179</v>
      </c>
    </row>
    <row r="1939" spans="4:4" x14ac:dyDescent="0.45">
      <c r="D1939" t="s">
        <v>84</v>
      </c>
    </row>
    <row r="1940" spans="4:4" x14ac:dyDescent="0.45">
      <c r="D1940" t="s">
        <v>85</v>
      </c>
    </row>
    <row r="1941" spans="4:4" x14ac:dyDescent="0.45">
      <c r="D1941" t="s">
        <v>209</v>
      </c>
    </row>
    <row r="1942" spans="4:4" x14ac:dyDescent="0.45">
      <c r="D1942" t="s">
        <v>87</v>
      </c>
    </row>
    <row r="1943" spans="4:4" x14ac:dyDescent="0.45">
      <c r="D1943" t="s">
        <v>88</v>
      </c>
    </row>
    <row r="1944" spans="4:4" x14ac:dyDescent="0.45">
      <c r="D1944" t="s">
        <v>66</v>
      </c>
    </row>
    <row r="1945" spans="4:4" x14ac:dyDescent="0.45">
      <c r="D1945" t="s">
        <v>773</v>
      </c>
    </row>
    <row r="1946" spans="4:4" x14ac:dyDescent="0.45">
      <c r="D1946" t="s">
        <v>774</v>
      </c>
    </row>
    <row r="1947" spans="4:4" x14ac:dyDescent="0.45">
      <c r="D1947" t="s">
        <v>69</v>
      </c>
    </row>
    <row r="1948" spans="4:4" x14ac:dyDescent="0.45">
      <c r="D1948" t="s">
        <v>775</v>
      </c>
    </row>
    <row r="1949" spans="4:4" x14ac:dyDescent="0.45">
      <c r="D1949" t="s">
        <v>132</v>
      </c>
    </row>
    <row r="1950" spans="4:4" x14ac:dyDescent="0.45">
      <c r="D1950" t="s">
        <v>544</v>
      </c>
    </row>
    <row r="1951" spans="4:4" x14ac:dyDescent="0.45">
      <c r="D1951" t="s">
        <v>545</v>
      </c>
    </row>
    <row r="1952" spans="4:4" x14ac:dyDescent="0.45">
      <c r="D1952" t="s">
        <v>134</v>
      </c>
    </row>
    <row r="1953" spans="4:4" x14ac:dyDescent="0.45">
      <c r="D1953" t="s">
        <v>179</v>
      </c>
    </row>
    <row r="1954" spans="4:4" x14ac:dyDescent="0.45">
      <c r="D1954" t="s">
        <v>84</v>
      </c>
    </row>
    <row r="1955" spans="4:4" x14ac:dyDescent="0.45">
      <c r="D1955" t="s">
        <v>85</v>
      </c>
    </row>
    <row r="1956" spans="4:4" x14ac:dyDescent="0.45">
      <c r="D1956" t="s">
        <v>546</v>
      </c>
    </row>
    <row r="1957" spans="4:4" x14ac:dyDescent="0.45">
      <c r="D1957" t="s">
        <v>87</v>
      </c>
    </row>
    <row r="1958" spans="4:4" x14ac:dyDescent="0.45">
      <c r="D1958" t="s">
        <v>88</v>
      </c>
    </row>
    <row r="1959" spans="4:4" x14ac:dyDescent="0.45">
      <c r="D1959" t="s">
        <v>66</v>
      </c>
    </row>
    <row r="1960" spans="4:4" x14ac:dyDescent="0.45">
      <c r="D1960" t="s">
        <v>776</v>
      </c>
    </row>
    <row r="1961" spans="4:4" x14ac:dyDescent="0.45">
      <c r="D1961" t="s">
        <v>777</v>
      </c>
    </row>
    <row r="1962" spans="4:4" x14ac:dyDescent="0.45">
      <c r="D1962" t="s">
        <v>69</v>
      </c>
    </row>
    <row r="1963" spans="4:4" x14ac:dyDescent="0.45">
      <c r="D1963" t="s">
        <v>778</v>
      </c>
    </row>
    <row r="1964" spans="4:4" x14ac:dyDescent="0.45">
      <c r="D1964" t="s">
        <v>132</v>
      </c>
    </row>
    <row r="1965" spans="4:4" x14ac:dyDescent="0.45">
      <c r="D1965" t="s">
        <v>434</v>
      </c>
    </row>
    <row r="1966" spans="4:4" x14ac:dyDescent="0.45">
      <c r="D1966" t="s">
        <v>435</v>
      </c>
    </row>
    <row r="1967" spans="4:4" x14ac:dyDescent="0.45">
      <c r="D1967" t="s">
        <v>134</v>
      </c>
    </row>
    <row r="1968" spans="4:4" x14ac:dyDescent="0.45">
      <c r="D1968" t="s">
        <v>436</v>
      </c>
    </row>
    <row r="1969" spans="4:4" x14ac:dyDescent="0.45">
      <c r="D1969" t="s">
        <v>84</v>
      </c>
    </row>
    <row r="1970" spans="4:4" x14ac:dyDescent="0.45">
      <c r="D1970" t="s">
        <v>85</v>
      </c>
    </row>
    <row r="1971" spans="4:4" x14ac:dyDescent="0.45">
      <c r="D1971" t="s">
        <v>437</v>
      </c>
    </row>
    <row r="1972" spans="4:4" x14ac:dyDescent="0.45">
      <c r="D1972" t="s">
        <v>87</v>
      </c>
    </row>
    <row r="1973" spans="4:4" x14ac:dyDescent="0.45">
      <c r="D1973" t="s">
        <v>88</v>
      </c>
    </row>
    <row r="1974" spans="4:4" x14ac:dyDescent="0.45">
      <c r="D1974" t="s">
        <v>66</v>
      </c>
    </row>
    <row r="1975" spans="4:4" x14ac:dyDescent="0.45">
      <c r="D1975" t="s">
        <v>779</v>
      </c>
    </row>
    <row r="1976" spans="4:4" x14ac:dyDescent="0.45">
      <c r="D1976" t="s">
        <v>780</v>
      </c>
    </row>
    <row r="1977" spans="4:4" x14ac:dyDescent="0.45">
      <c r="D1977" t="s">
        <v>781</v>
      </c>
    </row>
    <row r="1978" spans="4:4" x14ac:dyDescent="0.45">
      <c r="D1978" t="s">
        <v>69</v>
      </c>
    </row>
    <row r="1979" spans="4:4" x14ac:dyDescent="0.45">
      <c r="D1979" t="s">
        <v>782</v>
      </c>
    </row>
    <row r="1980" spans="4:4" x14ac:dyDescent="0.45">
      <c r="D1980" t="s">
        <v>132</v>
      </c>
    </row>
    <row r="1981" spans="4:4" x14ac:dyDescent="0.45">
      <c r="D1981" t="s">
        <v>572</v>
      </c>
    </row>
    <row r="1982" spans="4:4" x14ac:dyDescent="0.45">
      <c r="D1982" t="s">
        <v>573</v>
      </c>
    </row>
    <row r="1983" spans="4:4" x14ac:dyDescent="0.45">
      <c r="D1983" t="s">
        <v>134</v>
      </c>
    </row>
    <row r="1984" spans="4:4" x14ac:dyDescent="0.45">
      <c r="D1984" t="s">
        <v>411</v>
      </c>
    </row>
    <row r="1985" spans="4:4" x14ac:dyDescent="0.45">
      <c r="D1985" t="s">
        <v>84</v>
      </c>
    </row>
    <row r="1986" spans="4:4" x14ac:dyDescent="0.45">
      <c r="D1986" t="s">
        <v>85</v>
      </c>
    </row>
    <row r="1987" spans="4:4" x14ac:dyDescent="0.45">
      <c r="D1987" t="s">
        <v>574</v>
      </c>
    </row>
    <row r="1988" spans="4:4" x14ac:dyDescent="0.45">
      <c r="D1988" t="s">
        <v>87</v>
      </c>
    </row>
    <row r="1989" spans="4:4" x14ac:dyDescent="0.45">
      <c r="D1989" t="s">
        <v>88</v>
      </c>
    </row>
    <row r="1990" spans="4:4" x14ac:dyDescent="0.45">
      <c r="D1990" t="s">
        <v>66</v>
      </c>
    </row>
    <row r="1991" spans="4:4" x14ac:dyDescent="0.45">
      <c r="D1991" t="s">
        <v>783</v>
      </c>
    </row>
    <row r="1992" spans="4:4" x14ac:dyDescent="0.45">
      <c r="D1992" t="s">
        <v>784</v>
      </c>
    </row>
    <row r="1993" spans="4:4" x14ac:dyDescent="0.45">
      <c r="D1993" t="s">
        <v>69</v>
      </c>
    </row>
    <row r="1994" spans="4:4" x14ac:dyDescent="0.45">
      <c r="D1994" t="s">
        <v>785</v>
      </c>
    </row>
    <row r="1995" spans="4:4" x14ac:dyDescent="0.45">
      <c r="D1995" t="s">
        <v>132</v>
      </c>
    </row>
    <row r="1996" spans="4:4" x14ac:dyDescent="0.45">
      <c r="D1996" t="s">
        <v>213</v>
      </c>
    </row>
    <row r="1997" spans="4:4" x14ac:dyDescent="0.45">
      <c r="D1997" t="s">
        <v>214</v>
      </c>
    </row>
    <row r="1998" spans="4:4" x14ac:dyDescent="0.45">
      <c r="D1998" t="s">
        <v>134</v>
      </c>
    </row>
    <row r="1999" spans="4:4" x14ac:dyDescent="0.45">
      <c r="D1999" t="s">
        <v>215</v>
      </c>
    </row>
    <row r="2000" spans="4:4" x14ac:dyDescent="0.45">
      <c r="D2000" t="s">
        <v>84</v>
      </c>
    </row>
    <row r="2001" spans="4:4" x14ac:dyDescent="0.45">
      <c r="D2001" t="s">
        <v>85</v>
      </c>
    </row>
    <row r="2002" spans="4:4" x14ac:dyDescent="0.45">
      <c r="D2002" t="s">
        <v>216</v>
      </c>
    </row>
    <row r="2003" spans="4:4" x14ac:dyDescent="0.45">
      <c r="D2003" t="s">
        <v>87</v>
      </c>
    </row>
    <row r="2004" spans="4:4" x14ac:dyDescent="0.45">
      <c r="D2004" t="s">
        <v>88</v>
      </c>
    </row>
    <row r="2005" spans="4:4" x14ac:dyDescent="0.45">
      <c r="D2005" t="s">
        <v>66</v>
      </c>
    </row>
    <row r="2006" spans="4:4" x14ac:dyDescent="0.45">
      <c r="D2006" t="s">
        <v>786</v>
      </c>
    </row>
    <row r="2007" spans="4:4" x14ac:dyDescent="0.45">
      <c r="D2007" t="s">
        <v>787</v>
      </c>
    </row>
    <row r="2008" spans="4:4" x14ac:dyDescent="0.45">
      <c r="D2008" t="s">
        <v>788</v>
      </c>
    </row>
    <row r="2009" spans="4:4" x14ac:dyDescent="0.45">
      <c r="D2009" t="s">
        <v>69</v>
      </c>
    </row>
    <row r="2010" spans="4:4" x14ac:dyDescent="0.45">
      <c r="D2010" t="s">
        <v>789</v>
      </c>
    </row>
    <row r="2011" spans="4:4" x14ac:dyDescent="0.45">
      <c r="D2011" t="s">
        <v>132</v>
      </c>
    </row>
    <row r="2012" spans="4:4" x14ac:dyDescent="0.45">
      <c r="D2012" t="s">
        <v>274</v>
      </c>
    </row>
    <row r="2013" spans="4:4" x14ac:dyDescent="0.45">
      <c r="D2013" t="s">
        <v>275</v>
      </c>
    </row>
    <row r="2014" spans="4:4" x14ac:dyDescent="0.45">
      <c r="D2014" t="s">
        <v>134</v>
      </c>
    </row>
    <row r="2015" spans="4:4" x14ac:dyDescent="0.45">
      <c r="D2015" t="s">
        <v>201</v>
      </c>
    </row>
    <row r="2016" spans="4:4" x14ac:dyDescent="0.45">
      <c r="D2016" t="s">
        <v>84</v>
      </c>
    </row>
    <row r="2017" spans="4:4" x14ac:dyDescent="0.45">
      <c r="D2017" t="s">
        <v>85</v>
      </c>
    </row>
    <row r="2018" spans="4:4" x14ac:dyDescent="0.45">
      <c r="D2018" t="s">
        <v>276</v>
      </c>
    </row>
    <row r="2019" spans="4:4" x14ac:dyDescent="0.45">
      <c r="D2019" t="s">
        <v>87</v>
      </c>
    </row>
    <row r="2020" spans="4:4" x14ac:dyDescent="0.45">
      <c r="D2020" t="s">
        <v>88</v>
      </c>
    </row>
    <row r="2021" spans="4:4" x14ac:dyDescent="0.45">
      <c r="D2021" t="s">
        <v>66</v>
      </c>
    </row>
    <row r="2022" spans="4:4" x14ac:dyDescent="0.45">
      <c r="D2022" t="s">
        <v>790</v>
      </c>
    </row>
    <row r="2023" spans="4:4" x14ac:dyDescent="0.45">
      <c r="D2023" t="s">
        <v>791</v>
      </c>
    </row>
    <row r="2024" spans="4:4" x14ac:dyDescent="0.45">
      <c r="D2024" t="s">
        <v>69</v>
      </c>
    </row>
    <row r="2025" spans="4:4" x14ac:dyDescent="0.45">
      <c r="D2025" t="s">
        <v>792</v>
      </c>
    </row>
    <row r="2026" spans="4:4" x14ac:dyDescent="0.45">
      <c r="D2026" t="s">
        <v>132</v>
      </c>
    </row>
    <row r="2027" spans="4:4" x14ac:dyDescent="0.45">
      <c r="D2027" t="s">
        <v>426</v>
      </c>
    </row>
    <row r="2028" spans="4:4" x14ac:dyDescent="0.45">
      <c r="D2028" t="s">
        <v>427</v>
      </c>
    </row>
    <row r="2029" spans="4:4" x14ac:dyDescent="0.45">
      <c r="D2029" t="s">
        <v>134</v>
      </c>
    </row>
    <row r="2030" spans="4:4" x14ac:dyDescent="0.45">
      <c r="D2030" t="s">
        <v>239</v>
      </c>
    </row>
    <row r="2031" spans="4:4" x14ac:dyDescent="0.45">
      <c r="D2031" t="s">
        <v>84</v>
      </c>
    </row>
    <row r="2032" spans="4:4" x14ac:dyDescent="0.45">
      <c r="D2032" t="s">
        <v>85</v>
      </c>
    </row>
    <row r="2033" spans="4:4" x14ac:dyDescent="0.45">
      <c r="D2033" t="s">
        <v>428</v>
      </c>
    </row>
    <row r="2034" spans="4:4" x14ac:dyDescent="0.45">
      <c r="D2034" t="s">
        <v>87</v>
      </c>
    </row>
    <row r="2035" spans="4:4" x14ac:dyDescent="0.45">
      <c r="D2035" t="s">
        <v>88</v>
      </c>
    </row>
    <row r="2036" spans="4:4" x14ac:dyDescent="0.45">
      <c r="D2036" t="s">
        <v>66</v>
      </c>
    </row>
    <row r="2037" spans="4:4" x14ac:dyDescent="0.45">
      <c r="D2037" t="s">
        <v>793</v>
      </c>
    </row>
    <row r="2038" spans="4:4" x14ac:dyDescent="0.45">
      <c r="D2038" t="s">
        <v>794</v>
      </c>
    </row>
    <row r="2039" spans="4:4" x14ac:dyDescent="0.45">
      <c r="D2039" t="s">
        <v>795</v>
      </c>
    </row>
    <row r="2040" spans="4:4" x14ac:dyDescent="0.45">
      <c r="D2040" t="s">
        <v>69</v>
      </c>
    </row>
    <row r="2041" spans="4:4" x14ac:dyDescent="0.45">
      <c r="D2041" t="s">
        <v>796</v>
      </c>
    </row>
    <row r="2042" spans="4:4" x14ac:dyDescent="0.45">
      <c r="D2042" t="s">
        <v>132</v>
      </c>
    </row>
    <row r="2043" spans="4:4" x14ac:dyDescent="0.45">
      <c r="D2043" t="s">
        <v>797</v>
      </c>
    </row>
    <row r="2044" spans="4:4" x14ac:dyDescent="0.45">
      <c r="D2044" t="s">
        <v>798</v>
      </c>
    </row>
    <row r="2045" spans="4:4" x14ac:dyDescent="0.45">
      <c r="D2045" t="s">
        <v>134</v>
      </c>
    </row>
    <row r="2046" spans="4:4" x14ac:dyDescent="0.45">
      <c r="D2046" t="s">
        <v>179</v>
      </c>
    </row>
    <row r="2047" spans="4:4" x14ac:dyDescent="0.45">
      <c r="D2047" t="s">
        <v>84</v>
      </c>
    </row>
    <row r="2048" spans="4:4" x14ac:dyDescent="0.45">
      <c r="D2048" t="s">
        <v>85</v>
      </c>
    </row>
    <row r="2049" spans="4:4" x14ac:dyDescent="0.45">
      <c r="D2049" t="s">
        <v>799</v>
      </c>
    </row>
    <row r="2050" spans="4:4" x14ac:dyDescent="0.45">
      <c r="D2050" t="s">
        <v>87</v>
      </c>
    </row>
    <row r="2051" spans="4:4" x14ac:dyDescent="0.45">
      <c r="D2051" t="s">
        <v>88</v>
      </c>
    </row>
    <row r="2052" spans="4:4" x14ac:dyDescent="0.45">
      <c r="D2052" t="s">
        <v>66</v>
      </c>
    </row>
    <row r="2053" spans="4:4" x14ac:dyDescent="0.45">
      <c r="D2053" t="s">
        <v>800</v>
      </c>
    </row>
    <row r="2054" spans="4:4" x14ac:dyDescent="0.45">
      <c r="D2054" t="s">
        <v>801</v>
      </c>
    </row>
    <row r="2055" spans="4:4" x14ac:dyDescent="0.45">
      <c r="D2055" t="s">
        <v>69</v>
      </c>
    </row>
    <row r="2056" spans="4:4" x14ac:dyDescent="0.45">
      <c r="D2056" t="s">
        <v>802</v>
      </c>
    </row>
    <row r="2057" spans="4:4" x14ac:dyDescent="0.45">
      <c r="D2057" t="s">
        <v>132</v>
      </c>
    </row>
    <row r="2058" spans="4:4" x14ac:dyDescent="0.45">
      <c r="D2058" t="s">
        <v>544</v>
      </c>
    </row>
    <row r="2059" spans="4:4" x14ac:dyDescent="0.45">
      <c r="D2059" t="s">
        <v>545</v>
      </c>
    </row>
    <row r="2060" spans="4:4" x14ac:dyDescent="0.45">
      <c r="D2060" t="s">
        <v>134</v>
      </c>
    </row>
    <row r="2061" spans="4:4" x14ac:dyDescent="0.45">
      <c r="D2061" t="s">
        <v>179</v>
      </c>
    </row>
    <row r="2062" spans="4:4" x14ac:dyDescent="0.45">
      <c r="D2062" t="s">
        <v>84</v>
      </c>
    </row>
    <row r="2063" spans="4:4" x14ac:dyDescent="0.45">
      <c r="D2063" t="s">
        <v>85</v>
      </c>
    </row>
    <row r="2064" spans="4:4" x14ac:dyDescent="0.45">
      <c r="D2064" t="s">
        <v>546</v>
      </c>
    </row>
    <row r="2065" spans="4:4" x14ac:dyDescent="0.45">
      <c r="D2065" t="s">
        <v>87</v>
      </c>
    </row>
    <row r="2066" spans="4:4" x14ac:dyDescent="0.45">
      <c r="D2066" t="s">
        <v>88</v>
      </c>
    </row>
    <row r="2067" spans="4:4" x14ac:dyDescent="0.45">
      <c r="D2067" t="s">
        <v>66</v>
      </c>
    </row>
    <row r="2068" spans="4:4" x14ac:dyDescent="0.45">
      <c r="D2068" t="s">
        <v>803</v>
      </c>
    </row>
    <row r="2069" spans="4:4" x14ac:dyDescent="0.45">
      <c r="D2069" t="s">
        <v>804</v>
      </c>
    </row>
    <row r="2070" spans="4:4" x14ac:dyDescent="0.45">
      <c r="D2070" t="s">
        <v>69</v>
      </c>
    </row>
    <row r="2071" spans="4:4" x14ac:dyDescent="0.45">
      <c r="D2071" t="s">
        <v>805</v>
      </c>
    </row>
    <row r="2072" spans="4:4" x14ac:dyDescent="0.45">
      <c r="D2072" t="s">
        <v>132</v>
      </c>
    </row>
    <row r="2073" spans="4:4" x14ac:dyDescent="0.45">
      <c r="D2073" t="s">
        <v>213</v>
      </c>
    </row>
    <row r="2074" spans="4:4" x14ac:dyDescent="0.45">
      <c r="D2074" t="s">
        <v>214</v>
      </c>
    </row>
    <row r="2075" spans="4:4" x14ac:dyDescent="0.45">
      <c r="D2075" t="s">
        <v>134</v>
      </c>
    </row>
    <row r="2076" spans="4:4" x14ac:dyDescent="0.45">
      <c r="D2076" t="s">
        <v>215</v>
      </c>
    </row>
    <row r="2077" spans="4:4" x14ac:dyDescent="0.45">
      <c r="D2077" t="s">
        <v>84</v>
      </c>
    </row>
    <row r="2078" spans="4:4" x14ac:dyDescent="0.45">
      <c r="D2078" t="s">
        <v>85</v>
      </c>
    </row>
    <row r="2079" spans="4:4" x14ac:dyDescent="0.45">
      <c r="D2079" t="s">
        <v>216</v>
      </c>
    </row>
    <row r="2080" spans="4:4" x14ac:dyDescent="0.45">
      <c r="D2080" t="s">
        <v>87</v>
      </c>
    </row>
    <row r="2081" spans="4:4" x14ac:dyDescent="0.45">
      <c r="D2081" t="s">
        <v>88</v>
      </c>
    </row>
    <row r="2082" spans="4:4" x14ac:dyDescent="0.45">
      <c r="D2082" t="s">
        <v>66</v>
      </c>
    </row>
    <row r="2083" spans="4:4" x14ac:dyDescent="0.45">
      <c r="D2083" t="s">
        <v>806</v>
      </c>
    </row>
    <row r="2084" spans="4:4" x14ac:dyDescent="0.45">
      <c r="D2084" t="s">
        <v>807</v>
      </c>
    </row>
    <row r="2085" spans="4:4" x14ac:dyDescent="0.45">
      <c r="D2085" t="s">
        <v>808</v>
      </c>
    </row>
    <row r="2086" spans="4:4" x14ac:dyDescent="0.45">
      <c r="D2086" t="s">
        <v>69</v>
      </c>
    </row>
    <row r="2087" spans="4:4" x14ac:dyDescent="0.45">
      <c r="D2087" t="s">
        <v>809</v>
      </c>
    </row>
    <row r="2088" spans="4:4" x14ac:dyDescent="0.45">
      <c r="D2088" t="s">
        <v>132</v>
      </c>
    </row>
    <row r="2089" spans="4:4" x14ac:dyDescent="0.45">
      <c r="D2089" t="s">
        <v>810</v>
      </c>
    </row>
    <row r="2090" spans="4:4" x14ac:dyDescent="0.45">
      <c r="D2090" t="s">
        <v>308</v>
      </c>
    </row>
    <row r="2091" spans="4:4" x14ac:dyDescent="0.45">
      <c r="D2091" t="s">
        <v>134</v>
      </c>
    </row>
    <row r="2092" spans="4:4" x14ac:dyDescent="0.45">
      <c r="D2092" t="s">
        <v>179</v>
      </c>
    </row>
    <row r="2093" spans="4:4" x14ac:dyDescent="0.45">
      <c r="D2093" t="s">
        <v>84</v>
      </c>
    </row>
    <row r="2094" spans="4:4" x14ac:dyDescent="0.45">
      <c r="D2094" t="s">
        <v>85</v>
      </c>
    </row>
    <row r="2095" spans="4:4" x14ac:dyDescent="0.45">
      <c r="D2095" t="s">
        <v>811</v>
      </c>
    </row>
    <row r="2096" spans="4:4" x14ac:dyDescent="0.45">
      <c r="D2096" t="s">
        <v>87</v>
      </c>
    </row>
    <row r="2097" spans="4:4" x14ac:dyDescent="0.45">
      <c r="D2097" t="s">
        <v>88</v>
      </c>
    </row>
    <row r="2098" spans="4:4" x14ac:dyDescent="0.45">
      <c r="D2098" t="s">
        <v>66</v>
      </c>
    </row>
    <row r="2099" spans="4:4" x14ac:dyDescent="0.45">
      <c r="D2099" t="s">
        <v>812</v>
      </c>
    </row>
    <row r="2100" spans="4:4" x14ac:dyDescent="0.45">
      <c r="D2100" t="s">
        <v>813</v>
      </c>
    </row>
    <row r="2101" spans="4:4" x14ac:dyDescent="0.45">
      <c r="D2101" t="s">
        <v>69</v>
      </c>
    </row>
    <row r="2102" spans="4:4" x14ac:dyDescent="0.45">
      <c r="D2102" t="s">
        <v>814</v>
      </c>
    </row>
    <row r="2103" spans="4:4" x14ac:dyDescent="0.45">
      <c r="D2103" t="s">
        <v>132</v>
      </c>
    </row>
    <row r="2104" spans="4:4" x14ac:dyDescent="0.45">
      <c r="D2104" t="s">
        <v>434</v>
      </c>
    </row>
    <row r="2105" spans="4:4" x14ac:dyDescent="0.45">
      <c r="D2105" t="s">
        <v>435</v>
      </c>
    </row>
    <row r="2106" spans="4:4" x14ac:dyDescent="0.45">
      <c r="D2106" t="s">
        <v>134</v>
      </c>
    </row>
    <row r="2107" spans="4:4" x14ac:dyDescent="0.45">
      <c r="D2107" t="s">
        <v>436</v>
      </c>
    </row>
    <row r="2108" spans="4:4" x14ac:dyDescent="0.45">
      <c r="D2108" t="s">
        <v>84</v>
      </c>
    </row>
    <row r="2109" spans="4:4" x14ac:dyDescent="0.45">
      <c r="D2109" t="s">
        <v>85</v>
      </c>
    </row>
    <row r="2110" spans="4:4" x14ac:dyDescent="0.45">
      <c r="D2110" t="s">
        <v>437</v>
      </c>
    </row>
    <row r="2111" spans="4:4" x14ac:dyDescent="0.45">
      <c r="D2111" t="s">
        <v>87</v>
      </c>
    </row>
    <row r="2112" spans="4:4" x14ac:dyDescent="0.45">
      <c r="D2112" t="s">
        <v>88</v>
      </c>
    </row>
    <row r="2113" spans="4:4" x14ac:dyDescent="0.45">
      <c r="D2113" t="s">
        <v>66</v>
      </c>
    </row>
    <row r="2114" spans="4:4" x14ac:dyDescent="0.45">
      <c r="D2114" t="s">
        <v>815</v>
      </c>
    </row>
    <row r="2115" spans="4:4" x14ac:dyDescent="0.45">
      <c r="D2115" t="s">
        <v>816</v>
      </c>
    </row>
    <row r="2116" spans="4:4" x14ac:dyDescent="0.45">
      <c r="D2116" t="s">
        <v>817</v>
      </c>
    </row>
    <row r="2117" spans="4:4" x14ac:dyDescent="0.45">
      <c r="D2117" t="s">
        <v>69</v>
      </c>
    </row>
    <row r="2118" spans="4:4" x14ac:dyDescent="0.45">
      <c r="D2118" t="s">
        <v>818</v>
      </c>
    </row>
    <row r="2119" spans="4:4" x14ac:dyDescent="0.45">
      <c r="D2119" t="s">
        <v>132</v>
      </c>
    </row>
    <row r="2120" spans="4:4" x14ac:dyDescent="0.45">
      <c r="D2120" t="s">
        <v>177</v>
      </c>
    </row>
    <row r="2121" spans="4:4" x14ac:dyDescent="0.45">
      <c r="D2121" t="s">
        <v>178</v>
      </c>
    </row>
    <row r="2122" spans="4:4" x14ac:dyDescent="0.45">
      <c r="D2122" t="s">
        <v>134</v>
      </c>
    </row>
    <row r="2123" spans="4:4" x14ac:dyDescent="0.45">
      <c r="D2123" t="s">
        <v>179</v>
      </c>
    </row>
    <row r="2124" spans="4:4" x14ac:dyDescent="0.45">
      <c r="D2124" t="s">
        <v>84</v>
      </c>
    </row>
    <row r="2125" spans="4:4" x14ac:dyDescent="0.45">
      <c r="D2125" t="s">
        <v>85</v>
      </c>
    </row>
    <row r="2126" spans="4:4" x14ac:dyDescent="0.45">
      <c r="D2126" t="s">
        <v>180</v>
      </c>
    </row>
    <row r="2127" spans="4:4" x14ac:dyDescent="0.45">
      <c r="D2127" t="s">
        <v>87</v>
      </c>
    </row>
    <row r="2128" spans="4:4" x14ac:dyDescent="0.45">
      <c r="D2128" t="s">
        <v>88</v>
      </c>
    </row>
    <row r="2129" spans="4:4" x14ac:dyDescent="0.45">
      <c r="D2129" t="s">
        <v>66</v>
      </c>
    </row>
    <row r="2130" spans="4:4" x14ac:dyDescent="0.45">
      <c r="D2130" t="s">
        <v>819</v>
      </c>
    </row>
    <row r="2131" spans="4:4" x14ac:dyDescent="0.45">
      <c r="D2131" t="s">
        <v>820</v>
      </c>
    </row>
    <row r="2132" spans="4:4" x14ac:dyDescent="0.45">
      <c r="D2132" t="s">
        <v>69</v>
      </c>
    </row>
    <row r="2133" spans="4:4" x14ac:dyDescent="0.45">
      <c r="D2133" t="s">
        <v>821</v>
      </c>
    </row>
    <row r="2134" spans="4:4" x14ac:dyDescent="0.45">
      <c r="D2134" t="s">
        <v>132</v>
      </c>
    </row>
    <row r="2135" spans="4:4" x14ac:dyDescent="0.45">
      <c r="D2135" t="s">
        <v>822</v>
      </c>
    </row>
    <row r="2136" spans="4:4" x14ac:dyDescent="0.45">
      <c r="D2136" t="s">
        <v>308</v>
      </c>
    </row>
    <row r="2137" spans="4:4" x14ac:dyDescent="0.45">
      <c r="D2137" t="s">
        <v>134</v>
      </c>
    </row>
    <row r="2138" spans="4:4" x14ac:dyDescent="0.45">
      <c r="D2138" t="s">
        <v>221</v>
      </c>
    </row>
    <row r="2139" spans="4:4" x14ac:dyDescent="0.45">
      <c r="D2139" t="s">
        <v>84</v>
      </c>
    </row>
    <row r="2140" spans="4:4" x14ac:dyDescent="0.45">
      <c r="D2140" t="s">
        <v>85</v>
      </c>
    </row>
    <row r="2141" spans="4:4" x14ac:dyDescent="0.45">
      <c r="D2141" t="s">
        <v>823</v>
      </c>
    </row>
    <row r="2142" spans="4:4" x14ac:dyDescent="0.45">
      <c r="D2142" t="s">
        <v>87</v>
      </c>
    </row>
    <row r="2143" spans="4:4" x14ac:dyDescent="0.45">
      <c r="D2143" t="s">
        <v>88</v>
      </c>
    </row>
    <row r="2144" spans="4:4" x14ac:dyDescent="0.45">
      <c r="D2144" t="s">
        <v>66</v>
      </c>
    </row>
    <row r="2145" spans="4:4" x14ac:dyDescent="0.45">
      <c r="D2145" t="s">
        <v>824</v>
      </c>
    </row>
    <row r="2146" spans="4:4" x14ac:dyDescent="0.45">
      <c r="D2146" t="s">
        <v>825</v>
      </c>
    </row>
    <row r="2147" spans="4:4" x14ac:dyDescent="0.45">
      <c r="D2147" t="s">
        <v>826</v>
      </c>
    </row>
    <row r="2148" spans="4:4" x14ac:dyDescent="0.45">
      <c r="D2148" t="s">
        <v>69</v>
      </c>
    </row>
    <row r="2149" spans="4:4" x14ac:dyDescent="0.45">
      <c r="D2149" t="s">
        <v>827</v>
      </c>
    </row>
    <row r="2150" spans="4:4" x14ac:dyDescent="0.45">
      <c r="D2150" t="s">
        <v>132</v>
      </c>
    </row>
    <row r="2151" spans="4:4" x14ac:dyDescent="0.45">
      <c r="D2151" t="s">
        <v>199</v>
      </c>
    </row>
    <row r="2152" spans="4:4" x14ac:dyDescent="0.45">
      <c r="D2152" t="s">
        <v>200</v>
      </c>
    </row>
    <row r="2153" spans="4:4" x14ac:dyDescent="0.45">
      <c r="D2153" t="s">
        <v>134</v>
      </c>
    </row>
    <row r="2154" spans="4:4" x14ac:dyDescent="0.45">
      <c r="D2154" t="s">
        <v>201</v>
      </c>
    </row>
    <row r="2155" spans="4:4" x14ac:dyDescent="0.45">
      <c r="D2155" t="s">
        <v>84</v>
      </c>
    </row>
    <row r="2156" spans="4:4" x14ac:dyDescent="0.45">
      <c r="D2156" t="s">
        <v>85</v>
      </c>
    </row>
    <row r="2157" spans="4:4" x14ac:dyDescent="0.45">
      <c r="D2157" t="s">
        <v>202</v>
      </c>
    </row>
    <row r="2158" spans="4:4" x14ac:dyDescent="0.45">
      <c r="D2158" t="s">
        <v>87</v>
      </c>
    </row>
    <row r="2159" spans="4:4" x14ac:dyDescent="0.45">
      <c r="D2159" t="s">
        <v>88</v>
      </c>
    </row>
    <row r="2160" spans="4:4" x14ac:dyDescent="0.45">
      <c r="D2160" t="s">
        <v>66</v>
      </c>
    </row>
    <row r="2161" spans="4:4" x14ac:dyDescent="0.45">
      <c r="D2161" t="s">
        <v>828</v>
      </c>
    </row>
    <row r="2162" spans="4:4" x14ac:dyDescent="0.45">
      <c r="D2162" t="s">
        <v>829</v>
      </c>
    </row>
    <row r="2163" spans="4:4" x14ac:dyDescent="0.45">
      <c r="D2163" t="s">
        <v>830</v>
      </c>
    </row>
    <row r="2164" spans="4:4" x14ac:dyDescent="0.45">
      <c r="D2164" t="s">
        <v>69</v>
      </c>
    </row>
    <row r="2165" spans="4:4" x14ac:dyDescent="0.45">
      <c r="D2165" t="s">
        <v>831</v>
      </c>
    </row>
    <row r="2166" spans="4:4" x14ac:dyDescent="0.45">
      <c r="D2166" t="s">
        <v>132</v>
      </c>
    </row>
    <row r="2167" spans="4:4" x14ac:dyDescent="0.45">
      <c r="D2167" t="s">
        <v>832</v>
      </c>
    </row>
    <row r="2168" spans="4:4" x14ac:dyDescent="0.45">
      <c r="D2168" t="s">
        <v>134</v>
      </c>
    </row>
    <row r="2169" spans="4:4" x14ac:dyDescent="0.45">
      <c r="D2169" t="s">
        <v>833</v>
      </c>
    </row>
    <row r="2170" spans="4:4" x14ac:dyDescent="0.45">
      <c r="D2170" t="s">
        <v>84</v>
      </c>
    </row>
    <row r="2171" spans="4:4" x14ac:dyDescent="0.45">
      <c r="D2171" t="s">
        <v>85</v>
      </c>
    </row>
    <row r="2172" spans="4:4" x14ac:dyDescent="0.45">
      <c r="D2172" t="s">
        <v>834</v>
      </c>
    </row>
    <row r="2173" spans="4:4" x14ac:dyDescent="0.45">
      <c r="D2173" t="s">
        <v>87</v>
      </c>
    </row>
    <row r="2174" spans="4:4" x14ac:dyDescent="0.45">
      <c r="D2174" t="s">
        <v>88</v>
      </c>
    </row>
    <row r="2175" spans="4:4" x14ac:dyDescent="0.45">
      <c r="D2175" t="s">
        <v>66</v>
      </c>
    </row>
    <row r="2176" spans="4:4" x14ac:dyDescent="0.45">
      <c r="D2176" t="s">
        <v>835</v>
      </c>
    </row>
    <row r="2177" spans="4:4" x14ac:dyDescent="0.45">
      <c r="D2177" t="s">
        <v>836</v>
      </c>
    </row>
    <row r="2178" spans="4:4" x14ac:dyDescent="0.45">
      <c r="D2178" t="s">
        <v>837</v>
      </c>
    </row>
    <row r="2179" spans="4:4" x14ac:dyDescent="0.45">
      <c r="D2179" t="s">
        <v>69</v>
      </c>
    </row>
    <row r="2180" spans="4:4" x14ac:dyDescent="0.45">
      <c r="D2180" t="s">
        <v>838</v>
      </c>
    </row>
    <row r="2181" spans="4:4" x14ac:dyDescent="0.45">
      <c r="D2181" t="s">
        <v>132</v>
      </c>
    </row>
    <row r="2182" spans="4:4" x14ac:dyDescent="0.45">
      <c r="D2182" t="s">
        <v>839</v>
      </c>
    </row>
    <row r="2183" spans="4:4" x14ac:dyDescent="0.45">
      <c r="D2183" t="s">
        <v>545</v>
      </c>
    </row>
    <row r="2184" spans="4:4" x14ac:dyDescent="0.45">
      <c r="D2184" t="s">
        <v>134</v>
      </c>
    </row>
    <row r="2185" spans="4:4" x14ac:dyDescent="0.45">
      <c r="D2185" t="s">
        <v>840</v>
      </c>
    </row>
    <row r="2186" spans="4:4" x14ac:dyDescent="0.45">
      <c r="D2186" t="s">
        <v>84</v>
      </c>
    </row>
    <row r="2187" spans="4:4" x14ac:dyDescent="0.45">
      <c r="D2187" t="s">
        <v>85</v>
      </c>
    </row>
    <row r="2188" spans="4:4" x14ac:dyDescent="0.45">
      <c r="D2188" t="s">
        <v>841</v>
      </c>
    </row>
    <row r="2189" spans="4:4" x14ac:dyDescent="0.45">
      <c r="D2189" t="s">
        <v>87</v>
      </c>
    </row>
    <row r="2190" spans="4:4" x14ac:dyDescent="0.45">
      <c r="D2190" t="s">
        <v>88</v>
      </c>
    </row>
    <row r="2191" spans="4:4" x14ac:dyDescent="0.45">
      <c r="D2191" t="s">
        <v>66</v>
      </c>
    </row>
    <row r="2192" spans="4:4" x14ac:dyDescent="0.45">
      <c r="D2192" t="s">
        <v>842</v>
      </c>
    </row>
    <row r="2193" spans="4:4" x14ac:dyDescent="0.45">
      <c r="D2193" t="s">
        <v>843</v>
      </c>
    </row>
    <row r="2194" spans="4:4" x14ac:dyDescent="0.45">
      <c r="D2194" t="s">
        <v>844</v>
      </c>
    </row>
    <row r="2195" spans="4:4" x14ac:dyDescent="0.45">
      <c r="D2195" t="s">
        <v>69</v>
      </c>
    </row>
    <row r="2196" spans="4:4" x14ac:dyDescent="0.45">
      <c r="D2196" t="s">
        <v>845</v>
      </c>
    </row>
    <row r="2197" spans="4:4" x14ac:dyDescent="0.45">
      <c r="D2197" t="s">
        <v>132</v>
      </c>
    </row>
    <row r="2198" spans="4:4" x14ac:dyDescent="0.45">
      <c r="D2198" t="s">
        <v>846</v>
      </c>
    </row>
    <row r="2199" spans="4:4" x14ac:dyDescent="0.45">
      <c r="D2199" t="s">
        <v>847</v>
      </c>
    </row>
    <row r="2200" spans="4:4" x14ac:dyDescent="0.45">
      <c r="D2200" t="s">
        <v>134</v>
      </c>
    </row>
    <row r="2201" spans="4:4" x14ac:dyDescent="0.45">
      <c r="D2201" t="s">
        <v>411</v>
      </c>
    </row>
    <row r="2202" spans="4:4" x14ac:dyDescent="0.45">
      <c r="D2202" t="s">
        <v>84</v>
      </c>
    </row>
    <row r="2203" spans="4:4" x14ac:dyDescent="0.45">
      <c r="D2203" t="s">
        <v>85</v>
      </c>
    </row>
    <row r="2204" spans="4:4" x14ac:dyDescent="0.45">
      <c r="D2204" t="s">
        <v>848</v>
      </c>
    </row>
    <row r="2205" spans="4:4" x14ac:dyDescent="0.45">
      <c r="D2205" t="s">
        <v>87</v>
      </c>
    </row>
    <row r="2206" spans="4:4" x14ac:dyDescent="0.45">
      <c r="D2206" t="s">
        <v>88</v>
      </c>
    </row>
    <row r="2207" spans="4:4" x14ac:dyDescent="0.45">
      <c r="D2207" t="s">
        <v>66</v>
      </c>
    </row>
    <row r="2208" spans="4:4" x14ac:dyDescent="0.45">
      <c r="D2208" t="s">
        <v>849</v>
      </c>
    </row>
    <row r="2209" spans="4:4" x14ac:dyDescent="0.45">
      <c r="D2209" t="s">
        <v>850</v>
      </c>
    </row>
    <row r="2210" spans="4:4" x14ac:dyDescent="0.45">
      <c r="D2210" t="s">
        <v>851</v>
      </c>
    </row>
    <row r="2211" spans="4:4" x14ac:dyDescent="0.45">
      <c r="D2211" t="s">
        <v>69</v>
      </c>
    </row>
    <row r="2212" spans="4:4" x14ac:dyDescent="0.45">
      <c r="D2212" t="s">
        <v>852</v>
      </c>
    </row>
    <row r="2213" spans="4:4" x14ac:dyDescent="0.45">
      <c r="D2213" t="s">
        <v>132</v>
      </c>
    </row>
    <row r="2214" spans="4:4" x14ac:dyDescent="0.45">
      <c r="D2214" t="s">
        <v>853</v>
      </c>
    </row>
    <row r="2215" spans="4:4" x14ac:dyDescent="0.45">
      <c r="D2215" t="s">
        <v>854</v>
      </c>
    </row>
    <row r="2216" spans="4:4" x14ac:dyDescent="0.45">
      <c r="D2216" t="s">
        <v>134</v>
      </c>
    </row>
    <row r="2217" spans="4:4" x14ac:dyDescent="0.45">
      <c r="D2217" t="s">
        <v>855</v>
      </c>
    </row>
    <row r="2218" spans="4:4" x14ac:dyDescent="0.45">
      <c r="D2218" t="s">
        <v>84</v>
      </c>
    </row>
    <row r="2219" spans="4:4" x14ac:dyDescent="0.45">
      <c r="D2219" t="s">
        <v>85</v>
      </c>
    </row>
    <row r="2220" spans="4:4" x14ac:dyDescent="0.45">
      <c r="D2220" t="s">
        <v>856</v>
      </c>
    </row>
    <row r="2221" spans="4:4" x14ac:dyDescent="0.45">
      <c r="D2221" t="s">
        <v>87</v>
      </c>
    </row>
    <row r="2222" spans="4:4" x14ac:dyDescent="0.45">
      <c r="D2222" t="s">
        <v>88</v>
      </c>
    </row>
    <row r="2223" spans="4:4" x14ac:dyDescent="0.45">
      <c r="D2223" t="s">
        <v>66</v>
      </c>
    </row>
    <row r="2224" spans="4:4" x14ac:dyDescent="0.45">
      <c r="D2224" t="s">
        <v>717</v>
      </c>
    </row>
    <row r="2225" spans="4:4" x14ac:dyDescent="0.45">
      <c r="D2225" t="s">
        <v>718</v>
      </c>
    </row>
    <row r="2226" spans="4:4" x14ac:dyDescent="0.45">
      <c r="D2226" t="s">
        <v>719</v>
      </c>
    </row>
    <row r="2227" spans="4:4" x14ac:dyDescent="0.45">
      <c r="D2227" t="s">
        <v>857</v>
      </c>
    </row>
    <row r="2228" spans="4:4" x14ac:dyDescent="0.45">
      <c r="D2228" t="s">
        <v>858</v>
      </c>
    </row>
    <row r="2229" spans="4:4" x14ac:dyDescent="0.45">
      <c r="D2229" t="s">
        <v>69</v>
      </c>
    </row>
    <row r="2230" spans="4:4" x14ac:dyDescent="0.45">
      <c r="D2230" t="s">
        <v>859</v>
      </c>
    </row>
    <row r="2231" spans="4:4" x14ac:dyDescent="0.45">
      <c r="D2231" t="s">
        <v>132</v>
      </c>
    </row>
    <row r="2232" spans="4:4" x14ac:dyDescent="0.45">
      <c r="D2232" t="s">
        <v>611</v>
      </c>
    </row>
    <row r="2233" spans="4:4" x14ac:dyDescent="0.45">
      <c r="D2233" t="s">
        <v>860</v>
      </c>
    </row>
    <row r="2234" spans="4:4" x14ac:dyDescent="0.45">
      <c r="D2234" t="s">
        <v>861</v>
      </c>
    </row>
    <row r="2235" spans="4:4" x14ac:dyDescent="0.45">
      <c r="D2235" t="s">
        <v>134</v>
      </c>
    </row>
    <row r="2236" spans="4:4" x14ac:dyDescent="0.45">
      <c r="D2236" t="s">
        <v>179</v>
      </c>
    </row>
    <row r="2237" spans="4:4" x14ac:dyDescent="0.45">
      <c r="D2237" t="s">
        <v>84</v>
      </c>
    </row>
    <row r="2238" spans="4:4" x14ac:dyDescent="0.45">
      <c r="D2238" t="s">
        <v>85</v>
      </c>
    </row>
    <row r="2239" spans="4:4" x14ac:dyDescent="0.45">
      <c r="D2239" t="s">
        <v>614</v>
      </c>
    </row>
    <row r="2240" spans="4:4" x14ac:dyDescent="0.45">
      <c r="D2240" t="s">
        <v>87</v>
      </c>
    </row>
    <row r="2241" spans="4:4" x14ac:dyDescent="0.45">
      <c r="D2241" t="s">
        <v>88</v>
      </c>
    </row>
    <row r="2242" spans="4:4" x14ac:dyDescent="0.45">
      <c r="D2242" t="s">
        <v>66</v>
      </c>
    </row>
    <row r="2243" spans="4:4" x14ac:dyDescent="0.45">
      <c r="D2243" t="s">
        <v>862</v>
      </c>
    </row>
    <row r="2244" spans="4:4" x14ac:dyDescent="0.45">
      <c r="D2244" t="s">
        <v>863</v>
      </c>
    </row>
    <row r="2245" spans="4:4" x14ac:dyDescent="0.45">
      <c r="D2245" t="s">
        <v>864</v>
      </c>
    </row>
    <row r="2246" spans="4:4" x14ac:dyDescent="0.45">
      <c r="D2246" t="s">
        <v>69</v>
      </c>
    </row>
    <row r="2247" spans="4:4" x14ac:dyDescent="0.45">
      <c r="D2247" t="s">
        <v>865</v>
      </c>
    </row>
    <row r="2248" spans="4:4" x14ac:dyDescent="0.45">
      <c r="D2248" t="s">
        <v>132</v>
      </c>
    </row>
    <row r="2249" spans="4:4" x14ac:dyDescent="0.45">
      <c r="D2249" t="s">
        <v>866</v>
      </c>
    </row>
    <row r="2250" spans="4:4" x14ac:dyDescent="0.45">
      <c r="D2250" t="s">
        <v>476</v>
      </c>
    </row>
    <row r="2251" spans="4:4" x14ac:dyDescent="0.45">
      <c r="D2251" t="s">
        <v>134</v>
      </c>
    </row>
    <row r="2252" spans="4:4" x14ac:dyDescent="0.45">
      <c r="D2252" t="s">
        <v>867</v>
      </c>
    </row>
    <row r="2253" spans="4:4" x14ac:dyDescent="0.45">
      <c r="D2253" t="s">
        <v>84</v>
      </c>
    </row>
    <row r="2254" spans="4:4" x14ac:dyDescent="0.45">
      <c r="D2254" t="s">
        <v>85</v>
      </c>
    </row>
    <row r="2255" spans="4:4" x14ac:dyDescent="0.45">
      <c r="D2255" t="s">
        <v>868</v>
      </c>
    </row>
    <row r="2256" spans="4:4" x14ac:dyDescent="0.45">
      <c r="D2256" t="s">
        <v>87</v>
      </c>
    </row>
    <row r="2257" spans="4:4" x14ac:dyDescent="0.45">
      <c r="D2257" t="s">
        <v>88</v>
      </c>
    </row>
    <row r="2258" spans="4:4" x14ac:dyDescent="0.45">
      <c r="D2258" t="s">
        <v>66</v>
      </c>
    </row>
    <row r="2259" spans="4:4" x14ac:dyDescent="0.45">
      <c r="D2259" t="s">
        <v>869</v>
      </c>
    </row>
    <row r="2260" spans="4:4" x14ac:dyDescent="0.45">
      <c r="D2260" t="s">
        <v>870</v>
      </c>
    </row>
    <row r="2261" spans="4:4" x14ac:dyDescent="0.45">
      <c r="D2261" t="s">
        <v>69</v>
      </c>
    </row>
    <row r="2262" spans="4:4" x14ac:dyDescent="0.45">
      <c r="D2262" t="s">
        <v>871</v>
      </c>
    </row>
    <row r="2263" spans="4:4" x14ac:dyDescent="0.45">
      <c r="D2263" t="s">
        <v>132</v>
      </c>
    </row>
    <row r="2264" spans="4:4" x14ac:dyDescent="0.45">
      <c r="D2264" t="s">
        <v>199</v>
      </c>
    </row>
    <row r="2265" spans="4:4" x14ac:dyDescent="0.45">
      <c r="D2265" t="s">
        <v>200</v>
      </c>
    </row>
    <row r="2266" spans="4:4" x14ac:dyDescent="0.45">
      <c r="D2266" t="s">
        <v>134</v>
      </c>
    </row>
    <row r="2267" spans="4:4" x14ac:dyDescent="0.45">
      <c r="D2267" t="s">
        <v>201</v>
      </c>
    </row>
    <row r="2268" spans="4:4" x14ac:dyDescent="0.45">
      <c r="D2268" t="s">
        <v>84</v>
      </c>
    </row>
    <row r="2269" spans="4:4" x14ac:dyDescent="0.45">
      <c r="D2269" t="s">
        <v>85</v>
      </c>
    </row>
    <row r="2270" spans="4:4" x14ac:dyDescent="0.45">
      <c r="D2270" t="s">
        <v>202</v>
      </c>
    </row>
    <row r="2271" spans="4:4" x14ac:dyDescent="0.45">
      <c r="D2271" t="s">
        <v>87</v>
      </c>
    </row>
    <row r="2272" spans="4:4" x14ac:dyDescent="0.45">
      <c r="D2272" t="s">
        <v>88</v>
      </c>
    </row>
    <row r="2273" spans="4:4" x14ac:dyDescent="0.45">
      <c r="D2273" t="s">
        <v>66</v>
      </c>
    </row>
    <row r="2274" spans="4:4" x14ac:dyDescent="0.45">
      <c r="D2274" t="s">
        <v>872</v>
      </c>
    </row>
    <row r="2275" spans="4:4" x14ac:dyDescent="0.45">
      <c r="D2275" t="s">
        <v>873</v>
      </c>
    </row>
    <row r="2276" spans="4:4" x14ac:dyDescent="0.45">
      <c r="D2276" t="s">
        <v>69</v>
      </c>
    </row>
    <row r="2277" spans="4:4" x14ac:dyDescent="0.45">
      <c r="D2277" t="s">
        <v>874</v>
      </c>
    </row>
    <row r="2278" spans="4:4" x14ac:dyDescent="0.45">
      <c r="D2278" t="s">
        <v>132</v>
      </c>
    </row>
    <row r="2279" spans="4:4" x14ac:dyDescent="0.45">
      <c r="D2279" t="s">
        <v>544</v>
      </c>
    </row>
    <row r="2280" spans="4:4" x14ac:dyDescent="0.45">
      <c r="D2280" t="s">
        <v>545</v>
      </c>
    </row>
    <row r="2281" spans="4:4" x14ac:dyDescent="0.45">
      <c r="D2281" t="s">
        <v>134</v>
      </c>
    </row>
    <row r="2282" spans="4:4" x14ac:dyDescent="0.45">
      <c r="D2282" t="s">
        <v>179</v>
      </c>
    </row>
    <row r="2283" spans="4:4" x14ac:dyDescent="0.45">
      <c r="D2283" t="s">
        <v>84</v>
      </c>
    </row>
    <row r="2284" spans="4:4" x14ac:dyDescent="0.45">
      <c r="D2284" t="s">
        <v>85</v>
      </c>
    </row>
    <row r="2285" spans="4:4" x14ac:dyDescent="0.45">
      <c r="D2285" t="s">
        <v>546</v>
      </c>
    </row>
    <row r="2286" spans="4:4" x14ac:dyDescent="0.45">
      <c r="D2286" t="s">
        <v>87</v>
      </c>
    </row>
    <row r="2287" spans="4:4" x14ac:dyDescent="0.45">
      <c r="D2287" t="s">
        <v>88</v>
      </c>
    </row>
    <row r="2288" spans="4:4" x14ac:dyDescent="0.45">
      <c r="D2288" t="s">
        <v>66</v>
      </c>
    </row>
    <row r="2289" spans="4:4" x14ac:dyDescent="0.45">
      <c r="D2289" t="s">
        <v>875</v>
      </c>
    </row>
    <row r="2290" spans="4:4" x14ac:dyDescent="0.45">
      <c r="D2290" t="s">
        <v>876</v>
      </c>
    </row>
    <row r="2291" spans="4:4" x14ac:dyDescent="0.45">
      <c r="D2291" t="s">
        <v>69</v>
      </c>
    </row>
    <row r="2292" spans="4:4" x14ac:dyDescent="0.45">
      <c r="D2292" t="s">
        <v>877</v>
      </c>
    </row>
    <row r="2293" spans="4:4" x14ac:dyDescent="0.45">
      <c r="D2293" t="s">
        <v>132</v>
      </c>
    </row>
    <row r="2294" spans="4:4" x14ac:dyDescent="0.45">
      <c r="D2294" t="s">
        <v>652</v>
      </c>
    </row>
    <row r="2295" spans="4:4" x14ac:dyDescent="0.45">
      <c r="D2295" t="s">
        <v>170</v>
      </c>
    </row>
    <row r="2296" spans="4:4" x14ac:dyDescent="0.45">
      <c r="D2296" t="s">
        <v>134</v>
      </c>
    </row>
    <row r="2297" spans="4:4" x14ac:dyDescent="0.45">
      <c r="D2297" t="s">
        <v>158</v>
      </c>
    </row>
    <row r="2298" spans="4:4" x14ac:dyDescent="0.45">
      <c r="D2298" t="s">
        <v>84</v>
      </c>
    </row>
    <row r="2299" spans="4:4" x14ac:dyDescent="0.45">
      <c r="D2299" t="s">
        <v>85</v>
      </c>
    </row>
    <row r="2300" spans="4:4" x14ac:dyDescent="0.45">
      <c r="D2300" t="s">
        <v>653</v>
      </c>
    </row>
    <row r="2301" spans="4:4" x14ac:dyDescent="0.45">
      <c r="D2301" t="s">
        <v>87</v>
      </c>
    </row>
    <row r="2302" spans="4:4" x14ac:dyDescent="0.45">
      <c r="D2302" t="s">
        <v>88</v>
      </c>
    </row>
    <row r="2303" spans="4:4" x14ac:dyDescent="0.45">
      <c r="D2303" t="s">
        <v>66</v>
      </c>
    </row>
    <row r="2304" spans="4:4" x14ac:dyDescent="0.45">
      <c r="D2304" t="s">
        <v>878</v>
      </c>
    </row>
    <row r="2305" spans="4:4" x14ac:dyDescent="0.45">
      <c r="D2305" t="s">
        <v>625</v>
      </c>
    </row>
    <row r="2306" spans="4:4" x14ac:dyDescent="0.45">
      <c r="D2306" t="s">
        <v>879</v>
      </c>
    </row>
    <row r="2307" spans="4:4" x14ac:dyDescent="0.45">
      <c r="D2307" t="s">
        <v>880</v>
      </c>
    </row>
    <row r="2308" spans="4:4" x14ac:dyDescent="0.45">
      <c r="D2308" t="s">
        <v>881</v>
      </c>
    </row>
    <row r="2309" spans="4:4" x14ac:dyDescent="0.45">
      <c r="D2309" t="s">
        <v>69</v>
      </c>
    </row>
    <row r="2310" spans="4:4" x14ac:dyDescent="0.45">
      <c r="D2310" t="s">
        <v>882</v>
      </c>
    </row>
    <row r="2311" spans="4:4" x14ac:dyDescent="0.45">
      <c r="D2311" t="s">
        <v>132</v>
      </c>
    </row>
    <row r="2312" spans="4:4" x14ac:dyDescent="0.45">
      <c r="D2312" t="s">
        <v>883</v>
      </c>
    </row>
    <row r="2313" spans="4:4" x14ac:dyDescent="0.45">
      <c r="D2313" t="s">
        <v>884</v>
      </c>
    </row>
    <row r="2314" spans="4:4" x14ac:dyDescent="0.45">
      <c r="D2314" t="s">
        <v>885</v>
      </c>
    </row>
    <row r="2315" spans="4:4" x14ac:dyDescent="0.45">
      <c r="D2315" t="s">
        <v>134</v>
      </c>
    </row>
    <row r="2316" spans="4:4" x14ac:dyDescent="0.45">
      <c r="D2316" t="s">
        <v>886</v>
      </c>
    </row>
    <row r="2317" spans="4:4" x14ac:dyDescent="0.45">
      <c r="D2317" t="s">
        <v>84</v>
      </c>
    </row>
    <row r="2318" spans="4:4" x14ac:dyDescent="0.45">
      <c r="D2318" t="s">
        <v>85</v>
      </c>
    </row>
    <row r="2319" spans="4:4" x14ac:dyDescent="0.45">
      <c r="D2319" t="s">
        <v>887</v>
      </c>
    </row>
    <row r="2320" spans="4:4" x14ac:dyDescent="0.45">
      <c r="D2320" t="s">
        <v>87</v>
      </c>
    </row>
    <row r="2321" spans="4:4" x14ac:dyDescent="0.45">
      <c r="D2321" t="s">
        <v>88</v>
      </c>
    </row>
    <row r="2322" spans="4:4" x14ac:dyDescent="0.45">
      <c r="D2322" t="s">
        <v>66</v>
      </c>
    </row>
    <row r="2323" spans="4:4" x14ac:dyDescent="0.45">
      <c r="D2323" t="s">
        <v>888</v>
      </c>
    </row>
    <row r="2324" spans="4:4" x14ac:dyDescent="0.45">
      <c r="D2324" t="s">
        <v>889</v>
      </c>
    </row>
    <row r="2325" spans="4:4" x14ac:dyDescent="0.45">
      <c r="D2325" t="s">
        <v>69</v>
      </c>
    </row>
    <row r="2326" spans="4:4" x14ac:dyDescent="0.45">
      <c r="D2326" t="s">
        <v>890</v>
      </c>
    </row>
    <row r="2327" spans="4:4" x14ac:dyDescent="0.45">
      <c r="D2327" t="s">
        <v>132</v>
      </c>
    </row>
    <row r="2328" spans="4:4" x14ac:dyDescent="0.45">
      <c r="D2328" t="s">
        <v>652</v>
      </c>
    </row>
    <row r="2329" spans="4:4" x14ac:dyDescent="0.45">
      <c r="D2329" t="s">
        <v>170</v>
      </c>
    </row>
    <row r="2330" spans="4:4" x14ac:dyDescent="0.45">
      <c r="D2330" t="s">
        <v>134</v>
      </c>
    </row>
    <row r="2331" spans="4:4" x14ac:dyDescent="0.45">
      <c r="D2331" t="s">
        <v>158</v>
      </c>
    </row>
    <row r="2332" spans="4:4" x14ac:dyDescent="0.45">
      <c r="D2332" t="s">
        <v>84</v>
      </c>
    </row>
    <row r="2333" spans="4:4" x14ac:dyDescent="0.45">
      <c r="D2333" t="s">
        <v>85</v>
      </c>
    </row>
    <row r="2334" spans="4:4" x14ac:dyDescent="0.45">
      <c r="D2334" t="s">
        <v>653</v>
      </c>
    </row>
    <row r="2335" spans="4:4" x14ac:dyDescent="0.45">
      <c r="D2335" t="s">
        <v>87</v>
      </c>
    </row>
    <row r="2336" spans="4:4" x14ac:dyDescent="0.45">
      <c r="D2336" t="s">
        <v>88</v>
      </c>
    </row>
    <row r="2337" spans="4:4" x14ac:dyDescent="0.45">
      <c r="D2337" t="s">
        <v>66</v>
      </c>
    </row>
    <row r="2338" spans="4:4" x14ac:dyDescent="0.45">
      <c r="D2338" t="s">
        <v>891</v>
      </c>
    </row>
    <row r="2339" spans="4:4" x14ac:dyDescent="0.45">
      <c r="D2339" t="s">
        <v>892</v>
      </c>
    </row>
    <row r="2340" spans="4:4" x14ac:dyDescent="0.45">
      <c r="D2340" t="s">
        <v>893</v>
      </c>
    </row>
    <row r="2341" spans="4:4" x14ac:dyDescent="0.45">
      <c r="D2341" t="s">
        <v>894</v>
      </c>
    </row>
    <row r="2342" spans="4:4" x14ac:dyDescent="0.45">
      <c r="D2342" t="s">
        <v>895</v>
      </c>
    </row>
    <row r="2343" spans="4:4" x14ac:dyDescent="0.45">
      <c r="D2343" t="s">
        <v>896</v>
      </c>
    </row>
    <row r="2344" spans="4:4" x14ac:dyDescent="0.45">
      <c r="D2344" t="s">
        <v>69</v>
      </c>
    </row>
    <row r="2345" spans="4:4" x14ac:dyDescent="0.45">
      <c r="D2345" t="s">
        <v>897</v>
      </c>
    </row>
    <row r="2346" spans="4:4" x14ac:dyDescent="0.45">
      <c r="D2346" t="s">
        <v>132</v>
      </c>
    </row>
    <row r="2347" spans="4:4" x14ac:dyDescent="0.45">
      <c r="D2347" t="s">
        <v>898</v>
      </c>
    </row>
    <row r="2348" spans="4:4" x14ac:dyDescent="0.45">
      <c r="D2348" t="s">
        <v>899</v>
      </c>
    </row>
    <row r="2349" spans="4:4" x14ac:dyDescent="0.45">
      <c r="D2349" t="s">
        <v>900</v>
      </c>
    </row>
    <row r="2350" spans="4:4" x14ac:dyDescent="0.45">
      <c r="D2350" t="s">
        <v>134</v>
      </c>
    </row>
    <row r="2351" spans="4:4" x14ac:dyDescent="0.45">
      <c r="D2351" t="s">
        <v>179</v>
      </c>
    </row>
    <row r="2352" spans="4:4" x14ac:dyDescent="0.45">
      <c r="D2352" t="s">
        <v>84</v>
      </c>
    </row>
    <row r="2353" spans="4:4" x14ac:dyDescent="0.45">
      <c r="D2353" t="s">
        <v>85</v>
      </c>
    </row>
    <row r="2354" spans="4:4" x14ac:dyDescent="0.45">
      <c r="D2354" t="s">
        <v>901</v>
      </c>
    </row>
    <row r="2355" spans="4:4" x14ac:dyDescent="0.45">
      <c r="D2355" t="s">
        <v>87</v>
      </c>
    </row>
    <row r="2356" spans="4:4" x14ac:dyDescent="0.45">
      <c r="D2356" t="s">
        <v>88</v>
      </c>
    </row>
    <row r="2357" spans="4:4" x14ac:dyDescent="0.45">
      <c r="D2357" t="s">
        <v>66</v>
      </c>
    </row>
    <row r="2358" spans="4:4" x14ac:dyDescent="0.45">
      <c r="D2358" t="s">
        <v>223</v>
      </c>
    </row>
    <row r="2359" spans="4:4" x14ac:dyDescent="0.45">
      <c r="D2359" t="s">
        <v>224</v>
      </c>
    </row>
    <row r="2360" spans="4:4" x14ac:dyDescent="0.45">
      <c r="D2360" t="s">
        <v>225</v>
      </c>
    </row>
    <row r="2361" spans="4:4" x14ac:dyDescent="0.45">
      <c r="D2361" t="s">
        <v>902</v>
      </c>
    </row>
    <row r="2362" spans="4:4" x14ac:dyDescent="0.45">
      <c r="D2362" t="s">
        <v>903</v>
      </c>
    </row>
    <row r="2363" spans="4:4" x14ac:dyDescent="0.45">
      <c r="D2363" t="s">
        <v>69</v>
      </c>
    </row>
    <row r="2364" spans="4:4" x14ac:dyDescent="0.45">
      <c r="D2364" t="s">
        <v>904</v>
      </c>
    </row>
    <row r="2365" spans="4:4" x14ac:dyDescent="0.45">
      <c r="D2365" t="s">
        <v>132</v>
      </c>
    </row>
    <row r="2366" spans="4:4" x14ac:dyDescent="0.45">
      <c r="D2366" t="s">
        <v>905</v>
      </c>
    </row>
    <row r="2367" spans="4:4" x14ac:dyDescent="0.45">
      <c r="D2367" t="s">
        <v>906</v>
      </c>
    </row>
    <row r="2368" spans="4:4" x14ac:dyDescent="0.45">
      <c r="D2368" t="s">
        <v>907</v>
      </c>
    </row>
    <row r="2369" spans="4:4" x14ac:dyDescent="0.45">
      <c r="D2369" t="s">
        <v>134</v>
      </c>
    </row>
    <row r="2370" spans="4:4" x14ac:dyDescent="0.45">
      <c r="D2370" t="s">
        <v>179</v>
      </c>
    </row>
    <row r="2371" spans="4:4" x14ac:dyDescent="0.45">
      <c r="D2371" t="s">
        <v>84</v>
      </c>
    </row>
    <row r="2372" spans="4:4" x14ac:dyDescent="0.45">
      <c r="D2372" t="s">
        <v>85</v>
      </c>
    </row>
    <row r="2373" spans="4:4" x14ac:dyDescent="0.45">
      <c r="D2373" t="s">
        <v>908</v>
      </c>
    </row>
    <row r="2374" spans="4:4" x14ac:dyDescent="0.45">
      <c r="D2374" t="s">
        <v>87</v>
      </c>
    </row>
    <row r="2375" spans="4:4" x14ac:dyDescent="0.45">
      <c r="D2375" t="s">
        <v>88</v>
      </c>
    </row>
    <row r="2376" spans="4:4" x14ac:dyDescent="0.45">
      <c r="D2376" t="s">
        <v>66</v>
      </c>
    </row>
    <row r="2377" spans="4:4" x14ac:dyDescent="0.45">
      <c r="D2377" t="s">
        <v>909</v>
      </c>
    </row>
    <row r="2378" spans="4:4" x14ac:dyDescent="0.45">
      <c r="D2378" t="s">
        <v>910</v>
      </c>
    </row>
    <row r="2379" spans="4:4" x14ac:dyDescent="0.45">
      <c r="D2379" t="s">
        <v>69</v>
      </c>
    </row>
    <row r="2380" spans="4:4" x14ac:dyDescent="0.45">
      <c r="D2380" t="s">
        <v>911</v>
      </c>
    </row>
    <row r="2381" spans="4:4" x14ac:dyDescent="0.45">
      <c r="D2381" t="s">
        <v>132</v>
      </c>
    </row>
    <row r="2382" spans="4:4" x14ac:dyDescent="0.45">
      <c r="D2382" t="s">
        <v>280</v>
      </c>
    </row>
    <row r="2383" spans="4:4" x14ac:dyDescent="0.45">
      <c r="D2383" t="s">
        <v>281</v>
      </c>
    </row>
    <row r="2384" spans="4:4" x14ac:dyDescent="0.45">
      <c r="D2384" t="s">
        <v>134</v>
      </c>
    </row>
    <row r="2385" spans="4:4" x14ac:dyDescent="0.45">
      <c r="D2385" t="s">
        <v>201</v>
      </c>
    </row>
    <row r="2386" spans="4:4" x14ac:dyDescent="0.45">
      <c r="D2386" t="s">
        <v>84</v>
      </c>
    </row>
    <row r="2387" spans="4:4" x14ac:dyDescent="0.45">
      <c r="D2387" t="s">
        <v>85</v>
      </c>
    </row>
    <row r="2388" spans="4:4" x14ac:dyDescent="0.45">
      <c r="D2388" t="s">
        <v>282</v>
      </c>
    </row>
    <row r="2389" spans="4:4" x14ac:dyDescent="0.45">
      <c r="D2389" t="s">
        <v>87</v>
      </c>
    </row>
    <row r="2390" spans="4:4" x14ac:dyDescent="0.45">
      <c r="D2390" t="s">
        <v>88</v>
      </c>
    </row>
    <row r="2391" spans="4:4" x14ac:dyDescent="0.45">
      <c r="D2391" t="s">
        <v>66</v>
      </c>
    </row>
    <row r="2392" spans="4:4" x14ac:dyDescent="0.45">
      <c r="D2392" t="s">
        <v>912</v>
      </c>
    </row>
    <row r="2393" spans="4:4" x14ac:dyDescent="0.45">
      <c r="D2393" t="s">
        <v>913</v>
      </c>
    </row>
    <row r="2394" spans="4:4" x14ac:dyDescent="0.45">
      <c r="D2394" t="s">
        <v>914</v>
      </c>
    </row>
    <row r="2395" spans="4:4" x14ac:dyDescent="0.45">
      <c r="D2395" t="s">
        <v>69</v>
      </c>
    </row>
    <row r="2396" spans="4:4" x14ac:dyDescent="0.45">
      <c r="D2396" t="s">
        <v>915</v>
      </c>
    </row>
    <row r="2397" spans="4:4" x14ac:dyDescent="0.45">
      <c r="D2397" t="s">
        <v>132</v>
      </c>
    </row>
    <row r="2398" spans="4:4" x14ac:dyDescent="0.45">
      <c r="D2398" t="s">
        <v>916</v>
      </c>
    </row>
    <row r="2399" spans="4:4" x14ac:dyDescent="0.45">
      <c r="D2399" t="s">
        <v>917</v>
      </c>
    </row>
    <row r="2400" spans="4:4" x14ac:dyDescent="0.45">
      <c r="D2400" t="s">
        <v>134</v>
      </c>
    </row>
    <row r="2401" spans="4:4" x14ac:dyDescent="0.45">
      <c r="D2401" t="s">
        <v>179</v>
      </c>
    </row>
    <row r="2402" spans="4:4" x14ac:dyDescent="0.45">
      <c r="D2402" t="s">
        <v>84</v>
      </c>
    </row>
    <row r="2403" spans="4:4" x14ac:dyDescent="0.45">
      <c r="D2403" t="s">
        <v>85</v>
      </c>
    </row>
    <row r="2404" spans="4:4" x14ac:dyDescent="0.45">
      <c r="D2404" t="s">
        <v>918</v>
      </c>
    </row>
    <row r="2405" spans="4:4" x14ac:dyDescent="0.45">
      <c r="D2405" t="s">
        <v>87</v>
      </c>
    </row>
    <row r="2406" spans="4:4" x14ac:dyDescent="0.45">
      <c r="D2406" t="s">
        <v>88</v>
      </c>
    </row>
    <row r="2407" spans="4:4" x14ac:dyDescent="0.45">
      <c r="D2407" t="s">
        <v>66</v>
      </c>
    </row>
    <row r="2408" spans="4:4" x14ac:dyDescent="0.45">
      <c r="D2408" t="s">
        <v>919</v>
      </c>
    </row>
    <row r="2409" spans="4:4" x14ac:dyDescent="0.45">
      <c r="D2409" t="s">
        <v>920</v>
      </c>
    </row>
    <row r="2410" spans="4:4" x14ac:dyDescent="0.45">
      <c r="D2410" t="s">
        <v>921</v>
      </c>
    </row>
    <row r="2411" spans="4:4" x14ac:dyDescent="0.45">
      <c r="D2411" t="s">
        <v>922</v>
      </c>
    </row>
    <row r="2412" spans="4:4" x14ac:dyDescent="0.45">
      <c r="D2412" t="s">
        <v>923</v>
      </c>
    </row>
    <row r="2413" spans="4:4" x14ac:dyDescent="0.45">
      <c r="D2413" t="s">
        <v>924</v>
      </c>
    </row>
    <row r="2414" spans="4:4" x14ac:dyDescent="0.45">
      <c r="D2414" t="s">
        <v>69</v>
      </c>
    </row>
    <row r="2415" spans="4:4" x14ac:dyDescent="0.45">
      <c r="D2415" t="s">
        <v>925</v>
      </c>
    </row>
    <row r="2416" spans="4:4" x14ac:dyDescent="0.45">
      <c r="D2416" t="s">
        <v>132</v>
      </c>
    </row>
    <row r="2417" spans="4:4" x14ac:dyDescent="0.45">
      <c r="D2417" t="s">
        <v>926</v>
      </c>
    </row>
    <row r="2418" spans="4:4" x14ac:dyDescent="0.45">
      <c r="D2418" t="s">
        <v>927</v>
      </c>
    </row>
    <row r="2419" spans="4:4" x14ac:dyDescent="0.45">
      <c r="D2419" t="s">
        <v>928</v>
      </c>
    </row>
    <row r="2420" spans="4:4" x14ac:dyDescent="0.45">
      <c r="D2420" t="s">
        <v>134</v>
      </c>
    </row>
    <row r="2421" spans="4:4" x14ac:dyDescent="0.45">
      <c r="D2421" t="s">
        <v>411</v>
      </c>
    </row>
    <row r="2422" spans="4:4" x14ac:dyDescent="0.45">
      <c r="D2422" t="s">
        <v>84</v>
      </c>
    </row>
    <row r="2423" spans="4:4" x14ac:dyDescent="0.45">
      <c r="D2423" t="s">
        <v>85</v>
      </c>
    </row>
    <row r="2424" spans="4:4" x14ac:dyDescent="0.45">
      <c r="D2424" t="s">
        <v>929</v>
      </c>
    </row>
    <row r="2425" spans="4:4" x14ac:dyDescent="0.45">
      <c r="D2425" t="s">
        <v>87</v>
      </c>
    </row>
    <row r="2426" spans="4:4" x14ac:dyDescent="0.45">
      <c r="D2426" t="s">
        <v>88</v>
      </c>
    </row>
    <row r="2427" spans="4:4" x14ac:dyDescent="0.45">
      <c r="D2427" t="s">
        <v>66</v>
      </c>
    </row>
    <row r="2428" spans="4:4" x14ac:dyDescent="0.45">
      <c r="D2428" t="s">
        <v>930</v>
      </c>
    </row>
    <row r="2429" spans="4:4" x14ac:dyDescent="0.45">
      <c r="D2429" t="s">
        <v>931</v>
      </c>
    </row>
    <row r="2430" spans="4:4" x14ac:dyDescent="0.45">
      <c r="D2430" t="s">
        <v>69</v>
      </c>
    </row>
    <row r="2431" spans="4:4" x14ac:dyDescent="0.45">
      <c r="D2431" t="s">
        <v>925</v>
      </c>
    </row>
    <row r="2432" spans="4:4" x14ac:dyDescent="0.45">
      <c r="D2432" t="s">
        <v>932</v>
      </c>
    </row>
    <row r="2433" spans="4:4" x14ac:dyDescent="0.45">
      <c r="D2433" t="s">
        <v>132</v>
      </c>
    </row>
    <row r="2434" spans="4:4" x14ac:dyDescent="0.45">
      <c r="D2434" t="s">
        <v>926</v>
      </c>
    </row>
    <row r="2435" spans="4:4" x14ac:dyDescent="0.45">
      <c r="D2435" t="s">
        <v>927</v>
      </c>
    </row>
    <row r="2436" spans="4:4" x14ac:dyDescent="0.45">
      <c r="D2436" t="s">
        <v>928</v>
      </c>
    </row>
    <row r="2437" spans="4:4" x14ac:dyDescent="0.45">
      <c r="D2437" t="s">
        <v>134</v>
      </c>
    </row>
    <row r="2438" spans="4:4" x14ac:dyDescent="0.45">
      <c r="D2438" t="s">
        <v>411</v>
      </c>
    </row>
    <row r="2439" spans="4:4" x14ac:dyDescent="0.45">
      <c r="D2439" t="s">
        <v>84</v>
      </c>
    </row>
    <row r="2440" spans="4:4" x14ac:dyDescent="0.45">
      <c r="D2440" t="s">
        <v>85</v>
      </c>
    </row>
    <row r="2441" spans="4:4" x14ac:dyDescent="0.45">
      <c r="D2441" t="s">
        <v>933</v>
      </c>
    </row>
    <row r="2442" spans="4:4" x14ac:dyDescent="0.45">
      <c r="D2442" t="s">
        <v>87</v>
      </c>
    </row>
    <row r="2443" spans="4:4" x14ac:dyDescent="0.45">
      <c r="D2443" t="s">
        <v>88</v>
      </c>
    </row>
    <row r="2444" spans="4:4" x14ac:dyDescent="0.45">
      <c r="D2444" t="s">
        <v>66</v>
      </c>
    </row>
    <row r="2445" spans="4:4" x14ac:dyDescent="0.45">
      <c r="D2445" t="s">
        <v>934</v>
      </c>
    </row>
    <row r="2446" spans="4:4" x14ac:dyDescent="0.45">
      <c r="D2446" t="s">
        <v>935</v>
      </c>
    </row>
    <row r="2447" spans="4:4" x14ac:dyDescent="0.45">
      <c r="D2447" t="s">
        <v>69</v>
      </c>
    </row>
    <row r="2448" spans="4:4" x14ac:dyDescent="0.45">
      <c r="D2448" t="s">
        <v>925</v>
      </c>
    </row>
    <row r="2449" spans="4:4" x14ac:dyDescent="0.45">
      <c r="D2449" t="s">
        <v>936</v>
      </c>
    </row>
    <row r="2450" spans="4:4" x14ac:dyDescent="0.45">
      <c r="D2450" t="s">
        <v>132</v>
      </c>
    </row>
    <row r="2451" spans="4:4" x14ac:dyDescent="0.45">
      <c r="D2451" t="s">
        <v>926</v>
      </c>
    </row>
    <row r="2452" spans="4:4" x14ac:dyDescent="0.45">
      <c r="D2452" t="s">
        <v>927</v>
      </c>
    </row>
    <row r="2453" spans="4:4" x14ac:dyDescent="0.45">
      <c r="D2453" t="s">
        <v>928</v>
      </c>
    </row>
    <row r="2454" spans="4:4" x14ac:dyDescent="0.45">
      <c r="D2454" t="s">
        <v>134</v>
      </c>
    </row>
    <row r="2455" spans="4:4" x14ac:dyDescent="0.45">
      <c r="D2455" t="s">
        <v>411</v>
      </c>
    </row>
    <row r="2456" spans="4:4" x14ac:dyDescent="0.45">
      <c r="D2456" t="s">
        <v>84</v>
      </c>
    </row>
    <row r="2457" spans="4:4" x14ac:dyDescent="0.45">
      <c r="D2457" t="s">
        <v>85</v>
      </c>
    </row>
    <row r="2458" spans="4:4" x14ac:dyDescent="0.45">
      <c r="D2458" t="s">
        <v>933</v>
      </c>
    </row>
    <row r="2459" spans="4:4" x14ac:dyDescent="0.45">
      <c r="D2459" t="s">
        <v>87</v>
      </c>
    </row>
    <row r="2460" spans="4:4" x14ac:dyDescent="0.45">
      <c r="D2460" t="s">
        <v>88</v>
      </c>
    </row>
    <row r="2461" spans="4:4" x14ac:dyDescent="0.45">
      <c r="D2461" t="s">
        <v>66</v>
      </c>
    </row>
    <row r="2462" spans="4:4" x14ac:dyDescent="0.45">
      <c r="D2462" t="s">
        <v>937</v>
      </c>
    </row>
    <row r="2463" spans="4:4" x14ac:dyDescent="0.45">
      <c r="D2463" t="s">
        <v>938</v>
      </c>
    </row>
    <row r="2464" spans="4:4" x14ac:dyDescent="0.45">
      <c r="D2464" t="s">
        <v>69</v>
      </c>
    </row>
    <row r="2465" spans="4:4" x14ac:dyDescent="0.45">
      <c r="D2465" t="s">
        <v>925</v>
      </c>
    </row>
    <row r="2466" spans="4:4" x14ac:dyDescent="0.45">
      <c r="D2466" t="s">
        <v>939</v>
      </c>
    </row>
    <row r="2467" spans="4:4" x14ac:dyDescent="0.45">
      <c r="D2467" t="s">
        <v>132</v>
      </c>
    </row>
    <row r="2468" spans="4:4" x14ac:dyDescent="0.45">
      <c r="D2468" t="s">
        <v>926</v>
      </c>
    </row>
    <row r="2469" spans="4:4" x14ac:dyDescent="0.45">
      <c r="D2469" t="s">
        <v>927</v>
      </c>
    </row>
    <row r="2470" spans="4:4" x14ac:dyDescent="0.45">
      <c r="D2470" t="s">
        <v>928</v>
      </c>
    </row>
    <row r="2471" spans="4:4" x14ac:dyDescent="0.45">
      <c r="D2471" t="s">
        <v>134</v>
      </c>
    </row>
    <row r="2472" spans="4:4" x14ac:dyDescent="0.45">
      <c r="D2472" t="s">
        <v>411</v>
      </c>
    </row>
    <row r="2473" spans="4:4" x14ac:dyDescent="0.45">
      <c r="D2473" t="s">
        <v>84</v>
      </c>
    </row>
    <row r="2474" spans="4:4" x14ac:dyDescent="0.45">
      <c r="D2474" t="s">
        <v>85</v>
      </c>
    </row>
    <row r="2475" spans="4:4" x14ac:dyDescent="0.45">
      <c r="D2475" t="s">
        <v>933</v>
      </c>
    </row>
    <row r="2476" spans="4:4" x14ac:dyDescent="0.45">
      <c r="D2476" t="s">
        <v>87</v>
      </c>
    </row>
    <row r="2477" spans="4:4" x14ac:dyDescent="0.45">
      <c r="D2477" t="s">
        <v>88</v>
      </c>
    </row>
    <row r="2478" spans="4:4" x14ac:dyDescent="0.45">
      <c r="D2478" t="s">
        <v>66</v>
      </c>
    </row>
    <row r="2479" spans="4:4" x14ac:dyDescent="0.45">
      <c r="D2479" t="s">
        <v>940</v>
      </c>
    </row>
    <row r="2480" spans="4:4" x14ac:dyDescent="0.45">
      <c r="D2480" t="s">
        <v>941</v>
      </c>
    </row>
    <row r="2481" spans="4:4" x14ac:dyDescent="0.45">
      <c r="D2481" t="s">
        <v>69</v>
      </c>
    </row>
    <row r="2482" spans="4:4" x14ac:dyDescent="0.45">
      <c r="D2482" t="s">
        <v>925</v>
      </c>
    </row>
    <row r="2483" spans="4:4" x14ac:dyDescent="0.45">
      <c r="D2483" t="s">
        <v>942</v>
      </c>
    </row>
    <row r="2484" spans="4:4" x14ac:dyDescent="0.45">
      <c r="D2484" t="s">
        <v>132</v>
      </c>
    </row>
    <row r="2485" spans="4:4" x14ac:dyDescent="0.45">
      <c r="D2485" t="s">
        <v>926</v>
      </c>
    </row>
    <row r="2486" spans="4:4" x14ac:dyDescent="0.45">
      <c r="D2486" t="s">
        <v>927</v>
      </c>
    </row>
    <row r="2487" spans="4:4" x14ac:dyDescent="0.45">
      <c r="D2487" t="s">
        <v>928</v>
      </c>
    </row>
    <row r="2488" spans="4:4" x14ac:dyDescent="0.45">
      <c r="D2488" t="s">
        <v>134</v>
      </c>
    </row>
    <row r="2489" spans="4:4" x14ac:dyDescent="0.45">
      <c r="D2489" t="s">
        <v>411</v>
      </c>
    </row>
    <row r="2490" spans="4:4" x14ac:dyDescent="0.45">
      <c r="D2490" t="s">
        <v>84</v>
      </c>
    </row>
    <row r="2491" spans="4:4" x14ac:dyDescent="0.45">
      <c r="D2491" t="s">
        <v>85</v>
      </c>
    </row>
    <row r="2492" spans="4:4" x14ac:dyDescent="0.45">
      <c r="D2492" t="s">
        <v>933</v>
      </c>
    </row>
    <row r="2493" spans="4:4" x14ac:dyDescent="0.45">
      <c r="D2493" t="s">
        <v>87</v>
      </c>
    </row>
    <row r="2494" spans="4:4" x14ac:dyDescent="0.45">
      <c r="D2494" t="s">
        <v>88</v>
      </c>
    </row>
    <row r="2495" spans="4:4" x14ac:dyDescent="0.45">
      <c r="D2495" t="s">
        <v>66</v>
      </c>
    </row>
    <row r="2496" spans="4:4" x14ac:dyDescent="0.45">
      <c r="D2496" t="s">
        <v>943</v>
      </c>
    </row>
    <row r="2497" spans="4:4" x14ac:dyDescent="0.45">
      <c r="D2497" t="s">
        <v>944</v>
      </c>
    </row>
    <row r="2498" spans="4:4" x14ac:dyDescent="0.45">
      <c r="D2498" t="s">
        <v>69</v>
      </c>
    </row>
    <row r="2499" spans="4:4" x14ac:dyDescent="0.45">
      <c r="D2499" t="s">
        <v>925</v>
      </c>
    </row>
    <row r="2500" spans="4:4" x14ac:dyDescent="0.45">
      <c r="D2500" t="s">
        <v>945</v>
      </c>
    </row>
    <row r="2501" spans="4:4" x14ac:dyDescent="0.45">
      <c r="D2501" t="s">
        <v>132</v>
      </c>
    </row>
    <row r="2502" spans="4:4" x14ac:dyDescent="0.45">
      <c r="D2502" t="s">
        <v>926</v>
      </c>
    </row>
    <row r="2503" spans="4:4" x14ac:dyDescent="0.45">
      <c r="D2503" t="s">
        <v>927</v>
      </c>
    </row>
    <row r="2504" spans="4:4" x14ac:dyDescent="0.45">
      <c r="D2504" t="s">
        <v>928</v>
      </c>
    </row>
    <row r="2505" spans="4:4" x14ac:dyDescent="0.45">
      <c r="D2505" t="s">
        <v>134</v>
      </c>
    </row>
    <row r="2506" spans="4:4" x14ac:dyDescent="0.45">
      <c r="D2506" t="s">
        <v>411</v>
      </c>
    </row>
    <row r="2507" spans="4:4" x14ac:dyDescent="0.45">
      <c r="D2507" t="s">
        <v>84</v>
      </c>
    </row>
    <row r="2508" spans="4:4" x14ac:dyDescent="0.45">
      <c r="D2508" t="s">
        <v>85</v>
      </c>
    </row>
    <row r="2509" spans="4:4" x14ac:dyDescent="0.45">
      <c r="D2509" t="s">
        <v>933</v>
      </c>
    </row>
    <row r="2510" spans="4:4" x14ac:dyDescent="0.45">
      <c r="D2510" t="s">
        <v>87</v>
      </c>
    </row>
    <row r="2511" spans="4:4" x14ac:dyDescent="0.45">
      <c r="D2511" t="s">
        <v>88</v>
      </c>
    </row>
    <row r="2512" spans="4:4" x14ac:dyDescent="0.45">
      <c r="D2512" t="s">
        <v>66</v>
      </c>
    </row>
    <row r="2513" spans="4:4" x14ac:dyDescent="0.45">
      <c r="D2513" t="s">
        <v>946</v>
      </c>
    </row>
    <row r="2514" spans="4:4" x14ac:dyDescent="0.45">
      <c r="D2514" t="s">
        <v>947</v>
      </c>
    </row>
    <row r="2515" spans="4:4" x14ac:dyDescent="0.45">
      <c r="D2515" t="s">
        <v>948</v>
      </c>
    </row>
    <row r="2516" spans="4:4" x14ac:dyDescent="0.45">
      <c r="D2516" t="s">
        <v>69</v>
      </c>
    </row>
    <row r="2517" spans="4:4" x14ac:dyDescent="0.45">
      <c r="D2517" t="s">
        <v>949</v>
      </c>
    </row>
    <row r="2518" spans="4:4" x14ac:dyDescent="0.45">
      <c r="D2518" t="s">
        <v>132</v>
      </c>
    </row>
    <row r="2519" spans="4:4" x14ac:dyDescent="0.45">
      <c r="D2519" t="s">
        <v>274</v>
      </c>
    </row>
    <row r="2520" spans="4:4" x14ac:dyDescent="0.45">
      <c r="D2520" t="s">
        <v>275</v>
      </c>
    </row>
    <row r="2521" spans="4:4" x14ac:dyDescent="0.45">
      <c r="D2521" t="s">
        <v>134</v>
      </c>
    </row>
    <row r="2522" spans="4:4" x14ac:dyDescent="0.45">
      <c r="D2522" t="s">
        <v>201</v>
      </c>
    </row>
    <row r="2523" spans="4:4" x14ac:dyDescent="0.45">
      <c r="D2523" t="s">
        <v>84</v>
      </c>
    </row>
    <row r="2524" spans="4:4" x14ac:dyDescent="0.45">
      <c r="D2524" t="s">
        <v>85</v>
      </c>
    </row>
    <row r="2525" spans="4:4" x14ac:dyDescent="0.45">
      <c r="D2525" t="s">
        <v>276</v>
      </c>
    </row>
    <row r="2526" spans="4:4" x14ac:dyDescent="0.45">
      <c r="D2526" t="s">
        <v>87</v>
      </c>
    </row>
    <row r="2527" spans="4:4" x14ac:dyDescent="0.45">
      <c r="D2527" t="s">
        <v>88</v>
      </c>
    </row>
    <row r="2528" spans="4:4" x14ac:dyDescent="0.45">
      <c r="D2528" t="s">
        <v>66</v>
      </c>
    </row>
    <row r="2529" spans="4:4" x14ac:dyDescent="0.45">
      <c r="D2529" t="s">
        <v>950</v>
      </c>
    </row>
    <row r="2530" spans="4:4" x14ac:dyDescent="0.45">
      <c r="D2530" t="s">
        <v>951</v>
      </c>
    </row>
    <row r="2531" spans="4:4" x14ac:dyDescent="0.45">
      <c r="D2531" t="s">
        <v>952</v>
      </c>
    </row>
    <row r="2532" spans="4:4" x14ac:dyDescent="0.45">
      <c r="D2532" t="s">
        <v>69</v>
      </c>
    </row>
    <row r="2533" spans="4:4" x14ac:dyDescent="0.45">
      <c r="D2533" t="s">
        <v>953</v>
      </c>
    </row>
    <row r="2534" spans="4:4" x14ac:dyDescent="0.45">
      <c r="D2534" t="s">
        <v>132</v>
      </c>
    </row>
    <row r="2535" spans="4:4" x14ac:dyDescent="0.45">
      <c r="D2535" t="s">
        <v>244</v>
      </c>
    </row>
    <row r="2536" spans="4:4" x14ac:dyDescent="0.45">
      <c r="D2536" t="s">
        <v>954</v>
      </c>
    </row>
    <row r="2537" spans="4:4" x14ac:dyDescent="0.45">
      <c r="D2537" t="s">
        <v>134</v>
      </c>
    </row>
    <row r="2538" spans="4:4" x14ac:dyDescent="0.45">
      <c r="D2538" t="s">
        <v>201</v>
      </c>
    </row>
    <row r="2539" spans="4:4" x14ac:dyDescent="0.45">
      <c r="D2539" t="s">
        <v>84</v>
      </c>
    </row>
    <row r="2540" spans="4:4" x14ac:dyDescent="0.45">
      <c r="D2540" t="s">
        <v>85</v>
      </c>
    </row>
    <row r="2541" spans="4:4" x14ac:dyDescent="0.45">
      <c r="D2541" t="s">
        <v>246</v>
      </c>
    </row>
    <row r="2542" spans="4:4" x14ac:dyDescent="0.45">
      <c r="D2542" t="s">
        <v>87</v>
      </c>
    </row>
    <row r="2543" spans="4:4" x14ac:dyDescent="0.45">
      <c r="D2543" t="s">
        <v>88</v>
      </c>
    </row>
    <row r="2544" spans="4:4" x14ac:dyDescent="0.45">
      <c r="D2544" t="s">
        <v>66</v>
      </c>
    </row>
    <row r="2545" spans="4:4" x14ac:dyDescent="0.45">
      <c r="D2545" t="s">
        <v>955</v>
      </c>
    </row>
    <row r="2546" spans="4:4" x14ac:dyDescent="0.45">
      <c r="D2546" t="s">
        <v>956</v>
      </c>
    </row>
    <row r="2547" spans="4:4" x14ac:dyDescent="0.45">
      <c r="D2547" t="s">
        <v>957</v>
      </c>
    </row>
    <row r="2548" spans="4:4" x14ac:dyDescent="0.45">
      <c r="D2548" t="s">
        <v>69</v>
      </c>
    </row>
    <row r="2549" spans="4:4" x14ac:dyDescent="0.45">
      <c r="D2549" t="s">
        <v>958</v>
      </c>
    </row>
    <row r="2550" spans="4:4" x14ac:dyDescent="0.45">
      <c r="D2550" t="s">
        <v>132</v>
      </c>
    </row>
    <row r="2551" spans="4:4" x14ac:dyDescent="0.45">
      <c r="D2551" t="s">
        <v>199</v>
      </c>
    </row>
    <row r="2552" spans="4:4" x14ac:dyDescent="0.45">
      <c r="D2552" t="s">
        <v>200</v>
      </c>
    </row>
    <row r="2553" spans="4:4" x14ac:dyDescent="0.45">
      <c r="D2553" t="s">
        <v>134</v>
      </c>
    </row>
    <row r="2554" spans="4:4" x14ac:dyDescent="0.45">
      <c r="D2554" t="s">
        <v>201</v>
      </c>
    </row>
    <row r="2555" spans="4:4" x14ac:dyDescent="0.45">
      <c r="D2555" t="s">
        <v>84</v>
      </c>
    </row>
    <row r="2556" spans="4:4" x14ac:dyDescent="0.45">
      <c r="D2556" t="s">
        <v>85</v>
      </c>
    </row>
    <row r="2557" spans="4:4" x14ac:dyDescent="0.45">
      <c r="D2557" t="s">
        <v>202</v>
      </c>
    </row>
    <row r="2558" spans="4:4" x14ac:dyDescent="0.45">
      <c r="D2558" t="s">
        <v>87</v>
      </c>
    </row>
    <row r="2559" spans="4:4" x14ac:dyDescent="0.45">
      <c r="D2559" t="s">
        <v>88</v>
      </c>
    </row>
    <row r="2560" spans="4:4" x14ac:dyDescent="0.45">
      <c r="D2560" t="s">
        <v>66</v>
      </c>
    </row>
    <row r="2561" spans="4:4" x14ac:dyDescent="0.45">
      <c r="D2561" t="s">
        <v>959</v>
      </c>
    </row>
    <row r="2562" spans="4:4" x14ac:dyDescent="0.45">
      <c r="D2562" t="s">
        <v>960</v>
      </c>
    </row>
    <row r="2563" spans="4:4" x14ac:dyDescent="0.45">
      <c r="D2563" t="s">
        <v>69</v>
      </c>
    </row>
    <row r="2564" spans="4:4" x14ac:dyDescent="0.45">
      <c r="D2564" t="s">
        <v>961</v>
      </c>
    </row>
    <row r="2565" spans="4:4" x14ac:dyDescent="0.45">
      <c r="D2565" t="s">
        <v>132</v>
      </c>
    </row>
    <row r="2566" spans="4:4" x14ac:dyDescent="0.45">
      <c r="D2566" t="s">
        <v>426</v>
      </c>
    </row>
    <row r="2567" spans="4:4" x14ac:dyDescent="0.45">
      <c r="D2567" t="s">
        <v>427</v>
      </c>
    </row>
    <row r="2568" spans="4:4" x14ac:dyDescent="0.45">
      <c r="D2568" t="s">
        <v>134</v>
      </c>
    </row>
    <row r="2569" spans="4:4" x14ac:dyDescent="0.45">
      <c r="D2569" t="s">
        <v>239</v>
      </c>
    </row>
    <row r="2570" spans="4:4" x14ac:dyDescent="0.45">
      <c r="D2570" t="s">
        <v>84</v>
      </c>
    </row>
    <row r="2571" spans="4:4" x14ac:dyDescent="0.45">
      <c r="D2571" t="s">
        <v>85</v>
      </c>
    </row>
    <row r="2572" spans="4:4" x14ac:dyDescent="0.45">
      <c r="D2572" t="s">
        <v>428</v>
      </c>
    </row>
    <row r="2573" spans="4:4" x14ac:dyDescent="0.45">
      <c r="D2573" t="s">
        <v>87</v>
      </c>
    </row>
    <row r="2574" spans="4:4" x14ac:dyDescent="0.45">
      <c r="D2574" t="s">
        <v>88</v>
      </c>
    </row>
    <row r="2575" spans="4:4" x14ac:dyDescent="0.45">
      <c r="D2575" t="s">
        <v>66</v>
      </c>
    </row>
    <row r="2576" spans="4:4" x14ac:dyDescent="0.45">
      <c r="D2576" t="s">
        <v>962</v>
      </c>
    </row>
    <row r="2577" spans="4:4" x14ac:dyDescent="0.45">
      <c r="D2577" t="s">
        <v>963</v>
      </c>
    </row>
    <row r="2578" spans="4:4" x14ac:dyDescent="0.45">
      <c r="D2578" t="s">
        <v>69</v>
      </c>
    </row>
    <row r="2579" spans="4:4" x14ac:dyDescent="0.45">
      <c r="D2579" t="s">
        <v>964</v>
      </c>
    </row>
    <row r="2580" spans="4:4" x14ac:dyDescent="0.45">
      <c r="D2580" t="s">
        <v>132</v>
      </c>
    </row>
    <row r="2581" spans="4:4" x14ac:dyDescent="0.45">
      <c r="D2581" t="s">
        <v>434</v>
      </c>
    </row>
    <row r="2582" spans="4:4" x14ac:dyDescent="0.45">
      <c r="D2582" t="s">
        <v>435</v>
      </c>
    </row>
    <row r="2583" spans="4:4" x14ac:dyDescent="0.45">
      <c r="D2583" t="s">
        <v>134</v>
      </c>
    </row>
    <row r="2584" spans="4:4" x14ac:dyDescent="0.45">
      <c r="D2584" t="s">
        <v>436</v>
      </c>
    </row>
    <row r="2585" spans="4:4" x14ac:dyDescent="0.45">
      <c r="D2585" t="s">
        <v>84</v>
      </c>
    </row>
    <row r="2586" spans="4:4" x14ac:dyDescent="0.45">
      <c r="D2586" t="s">
        <v>85</v>
      </c>
    </row>
    <row r="2587" spans="4:4" x14ac:dyDescent="0.45">
      <c r="D2587" t="s">
        <v>437</v>
      </c>
    </row>
    <row r="2588" spans="4:4" x14ac:dyDescent="0.45">
      <c r="D2588" t="s">
        <v>87</v>
      </c>
    </row>
    <row r="2589" spans="4:4" x14ac:dyDescent="0.45">
      <c r="D2589" t="s">
        <v>88</v>
      </c>
    </row>
    <row r="2590" spans="4:4" x14ac:dyDescent="0.45">
      <c r="D2590" t="s">
        <v>66</v>
      </c>
    </row>
    <row r="2591" spans="4:4" x14ac:dyDescent="0.45">
      <c r="D2591" t="s">
        <v>965</v>
      </c>
    </row>
    <row r="2592" spans="4:4" x14ac:dyDescent="0.45">
      <c r="D2592" t="s">
        <v>966</v>
      </c>
    </row>
    <row r="2593" spans="4:4" x14ac:dyDescent="0.45">
      <c r="D2593" t="s">
        <v>69</v>
      </c>
    </row>
    <row r="2594" spans="4:4" x14ac:dyDescent="0.45">
      <c r="D2594" t="s">
        <v>967</v>
      </c>
    </row>
    <row r="2595" spans="4:4" x14ac:dyDescent="0.45">
      <c r="D2595" t="s">
        <v>132</v>
      </c>
    </row>
    <row r="2596" spans="4:4" x14ac:dyDescent="0.45">
      <c r="D2596" t="s">
        <v>250</v>
      </c>
    </row>
    <row r="2597" spans="4:4" x14ac:dyDescent="0.45">
      <c r="D2597" t="s">
        <v>134</v>
      </c>
    </row>
    <row r="2598" spans="4:4" x14ac:dyDescent="0.45">
      <c r="D2598" t="s">
        <v>251</v>
      </c>
    </row>
    <row r="2599" spans="4:4" x14ac:dyDescent="0.45">
      <c r="D2599" t="s">
        <v>84</v>
      </c>
    </row>
    <row r="2600" spans="4:4" x14ac:dyDescent="0.45">
      <c r="D2600" t="s">
        <v>85</v>
      </c>
    </row>
    <row r="2601" spans="4:4" x14ac:dyDescent="0.45">
      <c r="D2601" t="s">
        <v>252</v>
      </c>
    </row>
    <row r="2602" spans="4:4" x14ac:dyDescent="0.45">
      <c r="D2602" t="s">
        <v>87</v>
      </c>
    </row>
    <row r="2603" spans="4:4" x14ac:dyDescent="0.45">
      <c r="D2603" t="s">
        <v>88</v>
      </c>
    </row>
    <row r="2604" spans="4:4" x14ac:dyDescent="0.45">
      <c r="D2604" t="s">
        <v>66</v>
      </c>
    </row>
    <row r="2605" spans="4:4" x14ac:dyDescent="0.45">
      <c r="D2605" t="s">
        <v>968</v>
      </c>
    </row>
    <row r="2606" spans="4:4" x14ac:dyDescent="0.45">
      <c r="D2606" t="s">
        <v>969</v>
      </c>
    </row>
    <row r="2607" spans="4:4" x14ac:dyDescent="0.45">
      <c r="D2607" t="s">
        <v>69</v>
      </c>
    </row>
    <row r="2608" spans="4:4" x14ac:dyDescent="0.45">
      <c r="D2608" t="s">
        <v>970</v>
      </c>
    </row>
    <row r="2609" spans="4:4" x14ac:dyDescent="0.45">
      <c r="D2609" t="s">
        <v>132</v>
      </c>
    </row>
    <row r="2610" spans="4:4" x14ac:dyDescent="0.45">
      <c r="D2610" t="s">
        <v>971</v>
      </c>
    </row>
    <row r="2611" spans="4:4" x14ac:dyDescent="0.45">
      <c r="D2611" t="s">
        <v>134</v>
      </c>
    </row>
    <row r="2612" spans="4:4" x14ac:dyDescent="0.45">
      <c r="D2612" t="s">
        <v>221</v>
      </c>
    </row>
    <row r="2613" spans="4:4" x14ac:dyDescent="0.45">
      <c r="D2613" t="s">
        <v>84</v>
      </c>
    </row>
    <row r="2614" spans="4:4" x14ac:dyDescent="0.45">
      <c r="D2614" t="s">
        <v>85</v>
      </c>
    </row>
    <row r="2615" spans="4:4" x14ac:dyDescent="0.45">
      <c r="D2615" t="s">
        <v>972</v>
      </c>
    </row>
    <row r="2616" spans="4:4" x14ac:dyDescent="0.45">
      <c r="D2616" t="s">
        <v>87</v>
      </c>
    </row>
    <row r="2617" spans="4:4" x14ac:dyDescent="0.45">
      <c r="D2617" t="s">
        <v>88</v>
      </c>
    </row>
    <row r="2618" spans="4:4" x14ac:dyDescent="0.45">
      <c r="D2618" t="s">
        <v>66</v>
      </c>
    </row>
    <row r="2619" spans="4:4" x14ac:dyDescent="0.45">
      <c r="D2619" t="s">
        <v>973</v>
      </c>
    </row>
    <row r="2620" spans="4:4" x14ac:dyDescent="0.45">
      <c r="D2620" t="s">
        <v>974</v>
      </c>
    </row>
    <row r="2621" spans="4:4" x14ac:dyDescent="0.45">
      <c r="D2621" t="s">
        <v>69</v>
      </c>
    </row>
    <row r="2622" spans="4:4" x14ac:dyDescent="0.45">
      <c r="D2622" t="s">
        <v>975</v>
      </c>
    </row>
    <row r="2623" spans="4:4" x14ac:dyDescent="0.45">
      <c r="D2623" t="s">
        <v>132</v>
      </c>
    </row>
    <row r="2624" spans="4:4" x14ac:dyDescent="0.45">
      <c r="D2624" t="s">
        <v>274</v>
      </c>
    </row>
    <row r="2625" spans="4:4" x14ac:dyDescent="0.45">
      <c r="D2625" t="s">
        <v>275</v>
      </c>
    </row>
    <row r="2626" spans="4:4" x14ac:dyDescent="0.45">
      <c r="D2626" t="s">
        <v>134</v>
      </c>
    </row>
    <row r="2627" spans="4:4" x14ac:dyDescent="0.45">
      <c r="D2627" t="s">
        <v>201</v>
      </c>
    </row>
    <row r="2628" spans="4:4" x14ac:dyDescent="0.45">
      <c r="D2628" t="s">
        <v>84</v>
      </c>
    </row>
    <row r="2629" spans="4:4" x14ac:dyDescent="0.45">
      <c r="D2629" t="s">
        <v>85</v>
      </c>
    </row>
    <row r="2630" spans="4:4" x14ac:dyDescent="0.45">
      <c r="D2630" t="s">
        <v>276</v>
      </c>
    </row>
    <row r="2631" spans="4:4" x14ac:dyDescent="0.45">
      <c r="D2631" t="s">
        <v>87</v>
      </c>
    </row>
    <row r="2632" spans="4:4" x14ac:dyDescent="0.45">
      <c r="D2632" t="s">
        <v>88</v>
      </c>
    </row>
    <row r="2633" spans="4:4" x14ac:dyDescent="0.45">
      <c r="D2633" t="s">
        <v>66</v>
      </c>
    </row>
    <row r="2634" spans="4:4" x14ac:dyDescent="0.45">
      <c r="D2634" t="s">
        <v>976</v>
      </c>
    </row>
    <row r="2635" spans="4:4" x14ac:dyDescent="0.45">
      <c r="D2635" t="s">
        <v>977</v>
      </c>
    </row>
    <row r="2636" spans="4:4" x14ac:dyDescent="0.45">
      <c r="D2636" t="s">
        <v>69</v>
      </c>
    </row>
    <row r="2637" spans="4:4" x14ac:dyDescent="0.45">
      <c r="D2637" t="s">
        <v>978</v>
      </c>
    </row>
    <row r="2638" spans="4:4" x14ac:dyDescent="0.45">
      <c r="D2638" t="s">
        <v>132</v>
      </c>
    </row>
    <row r="2639" spans="4:4" x14ac:dyDescent="0.45">
      <c r="D2639" t="s">
        <v>434</v>
      </c>
    </row>
    <row r="2640" spans="4:4" x14ac:dyDescent="0.45">
      <c r="D2640" t="s">
        <v>435</v>
      </c>
    </row>
    <row r="2641" spans="4:4" x14ac:dyDescent="0.45">
      <c r="D2641" t="s">
        <v>134</v>
      </c>
    </row>
    <row r="2642" spans="4:4" x14ac:dyDescent="0.45">
      <c r="D2642" t="s">
        <v>436</v>
      </c>
    </row>
    <row r="2643" spans="4:4" x14ac:dyDescent="0.45">
      <c r="D2643" t="s">
        <v>84</v>
      </c>
    </row>
    <row r="2644" spans="4:4" x14ac:dyDescent="0.45">
      <c r="D2644" t="s">
        <v>85</v>
      </c>
    </row>
    <row r="2645" spans="4:4" x14ac:dyDescent="0.45">
      <c r="D2645" t="s">
        <v>437</v>
      </c>
    </row>
    <row r="2646" spans="4:4" x14ac:dyDescent="0.45">
      <c r="D2646" t="s">
        <v>87</v>
      </c>
    </row>
    <row r="2647" spans="4:4" x14ac:dyDescent="0.45">
      <c r="D2647" t="s">
        <v>88</v>
      </c>
    </row>
    <row r="2648" spans="4:4" x14ac:dyDescent="0.45">
      <c r="D2648" t="s">
        <v>66</v>
      </c>
    </row>
    <row r="2649" spans="4:4" x14ac:dyDescent="0.45">
      <c r="D2649" t="s">
        <v>979</v>
      </c>
    </row>
    <row r="2650" spans="4:4" x14ac:dyDescent="0.45">
      <c r="D2650" t="s">
        <v>980</v>
      </c>
    </row>
    <row r="2651" spans="4:4" x14ac:dyDescent="0.45">
      <c r="D2651" t="s">
        <v>69</v>
      </c>
    </row>
    <row r="2652" spans="4:4" x14ac:dyDescent="0.45">
      <c r="D2652" t="s">
        <v>981</v>
      </c>
    </row>
    <row r="2653" spans="4:4" x14ac:dyDescent="0.45">
      <c r="D2653" t="s">
        <v>132</v>
      </c>
    </row>
    <row r="2654" spans="4:4" x14ac:dyDescent="0.45">
      <c r="D2654" t="s">
        <v>237</v>
      </c>
    </row>
    <row r="2655" spans="4:4" x14ac:dyDescent="0.45">
      <c r="D2655" t="s">
        <v>238</v>
      </c>
    </row>
    <row r="2656" spans="4:4" x14ac:dyDescent="0.45">
      <c r="D2656" t="s">
        <v>134</v>
      </c>
    </row>
    <row r="2657" spans="4:4" x14ac:dyDescent="0.45">
      <c r="D2657" t="s">
        <v>239</v>
      </c>
    </row>
    <row r="2658" spans="4:4" x14ac:dyDescent="0.45">
      <c r="D2658" t="s">
        <v>84</v>
      </c>
    </row>
    <row r="2659" spans="4:4" x14ac:dyDescent="0.45">
      <c r="D2659" t="s">
        <v>85</v>
      </c>
    </row>
    <row r="2660" spans="4:4" x14ac:dyDescent="0.45">
      <c r="D2660" t="s">
        <v>240</v>
      </c>
    </row>
    <row r="2661" spans="4:4" x14ac:dyDescent="0.45">
      <c r="D2661" t="s">
        <v>87</v>
      </c>
    </row>
    <row r="2662" spans="4:4" x14ac:dyDescent="0.45">
      <c r="D2662" t="s">
        <v>88</v>
      </c>
    </row>
    <row r="2663" spans="4:4" x14ac:dyDescent="0.45">
      <c r="D2663" t="s">
        <v>66</v>
      </c>
    </row>
    <row r="2664" spans="4:4" x14ac:dyDescent="0.45">
      <c r="D2664" t="s">
        <v>982</v>
      </c>
    </row>
    <row r="2665" spans="4:4" x14ac:dyDescent="0.45">
      <c r="D2665" t="s">
        <v>983</v>
      </c>
    </row>
    <row r="2666" spans="4:4" x14ac:dyDescent="0.45">
      <c r="D2666" t="s">
        <v>69</v>
      </c>
    </row>
    <row r="2667" spans="4:4" x14ac:dyDescent="0.45">
      <c r="D2667" t="s">
        <v>984</v>
      </c>
    </row>
    <row r="2668" spans="4:4" x14ac:dyDescent="0.45">
      <c r="D2668" t="s">
        <v>132</v>
      </c>
    </row>
    <row r="2669" spans="4:4" x14ac:dyDescent="0.45">
      <c r="D2669" t="s">
        <v>133</v>
      </c>
    </row>
    <row r="2670" spans="4:4" x14ac:dyDescent="0.45">
      <c r="D2670" t="s">
        <v>134</v>
      </c>
    </row>
    <row r="2671" spans="4:4" x14ac:dyDescent="0.45">
      <c r="D2671" t="s">
        <v>127</v>
      </c>
    </row>
    <row r="2672" spans="4:4" x14ac:dyDescent="0.45">
      <c r="D2672" t="s">
        <v>84</v>
      </c>
    </row>
    <row r="2673" spans="4:4" x14ac:dyDescent="0.45">
      <c r="D2673" t="s">
        <v>85</v>
      </c>
    </row>
    <row r="2674" spans="4:4" x14ac:dyDescent="0.45">
      <c r="D2674" t="s">
        <v>985</v>
      </c>
    </row>
    <row r="2675" spans="4:4" x14ac:dyDescent="0.45">
      <c r="D2675" t="s">
        <v>87</v>
      </c>
    </row>
    <row r="2676" spans="4:4" x14ac:dyDescent="0.45">
      <c r="D2676" t="s">
        <v>88</v>
      </c>
    </row>
    <row r="2677" spans="4:4" x14ac:dyDescent="0.45">
      <c r="D2677" t="s">
        <v>66</v>
      </c>
    </row>
    <row r="2678" spans="4:4" x14ac:dyDescent="0.45">
      <c r="D2678" t="s">
        <v>986</v>
      </c>
    </row>
    <row r="2679" spans="4:4" x14ac:dyDescent="0.45">
      <c r="D2679" t="s">
        <v>987</v>
      </c>
    </row>
    <row r="2680" spans="4:4" x14ac:dyDescent="0.45">
      <c r="D2680" t="s">
        <v>69</v>
      </c>
    </row>
    <row r="2681" spans="4:4" x14ac:dyDescent="0.45">
      <c r="D2681" t="s">
        <v>988</v>
      </c>
    </row>
    <row r="2682" spans="4:4" x14ac:dyDescent="0.45">
      <c r="D2682" t="s">
        <v>132</v>
      </c>
    </row>
    <row r="2683" spans="4:4" x14ac:dyDescent="0.45">
      <c r="D2683" t="s">
        <v>133</v>
      </c>
    </row>
    <row r="2684" spans="4:4" x14ac:dyDescent="0.45">
      <c r="D2684" t="s">
        <v>134</v>
      </c>
    </row>
    <row r="2685" spans="4:4" x14ac:dyDescent="0.45">
      <c r="D2685" t="s">
        <v>127</v>
      </c>
    </row>
    <row r="2686" spans="4:4" x14ac:dyDescent="0.45">
      <c r="D2686" t="s">
        <v>84</v>
      </c>
    </row>
    <row r="2687" spans="4:4" x14ac:dyDescent="0.45">
      <c r="D2687" t="s">
        <v>85</v>
      </c>
    </row>
    <row r="2688" spans="4:4" x14ac:dyDescent="0.45">
      <c r="D2688" t="s">
        <v>989</v>
      </c>
    </row>
    <row r="2689" spans="4:4" x14ac:dyDescent="0.45">
      <c r="D2689" t="s">
        <v>87</v>
      </c>
    </row>
    <row r="2690" spans="4:4" x14ac:dyDescent="0.45">
      <c r="D2690" t="s">
        <v>88</v>
      </c>
    </row>
    <row r="2691" spans="4:4" x14ac:dyDescent="0.45">
      <c r="D2691" t="s">
        <v>66</v>
      </c>
    </row>
    <row r="2692" spans="4:4" x14ac:dyDescent="0.45">
      <c r="D2692" t="s">
        <v>990</v>
      </c>
    </row>
    <row r="2693" spans="4:4" x14ac:dyDescent="0.45">
      <c r="D2693" t="s">
        <v>991</v>
      </c>
    </row>
    <row r="2694" spans="4:4" x14ac:dyDescent="0.45">
      <c r="D2694" t="s">
        <v>69</v>
      </c>
    </row>
    <row r="2695" spans="4:4" x14ac:dyDescent="0.45">
      <c r="D2695" t="s">
        <v>992</v>
      </c>
    </row>
    <row r="2696" spans="4:4" x14ac:dyDescent="0.45">
      <c r="D2696" t="s">
        <v>132</v>
      </c>
    </row>
    <row r="2697" spans="4:4" x14ac:dyDescent="0.45">
      <c r="D2697" t="s">
        <v>133</v>
      </c>
    </row>
    <row r="2698" spans="4:4" x14ac:dyDescent="0.45">
      <c r="D2698" t="s">
        <v>134</v>
      </c>
    </row>
    <row r="2699" spans="4:4" x14ac:dyDescent="0.45">
      <c r="D2699" t="s">
        <v>127</v>
      </c>
    </row>
    <row r="2700" spans="4:4" x14ac:dyDescent="0.45">
      <c r="D2700" t="s">
        <v>84</v>
      </c>
    </row>
    <row r="2701" spans="4:4" x14ac:dyDescent="0.45">
      <c r="D2701" t="s">
        <v>85</v>
      </c>
    </row>
    <row r="2702" spans="4:4" x14ac:dyDescent="0.45">
      <c r="D2702" t="s">
        <v>993</v>
      </c>
    </row>
    <row r="2703" spans="4:4" x14ac:dyDescent="0.45">
      <c r="D2703" t="s">
        <v>87</v>
      </c>
    </row>
    <row r="2704" spans="4:4" x14ac:dyDescent="0.45">
      <c r="D2704" t="s">
        <v>88</v>
      </c>
    </row>
    <row r="2705" spans="4:4" x14ac:dyDescent="0.45">
      <c r="D2705" t="s">
        <v>66</v>
      </c>
    </row>
    <row r="2706" spans="4:4" x14ac:dyDescent="0.45">
      <c r="D2706" t="s">
        <v>994</v>
      </c>
    </row>
    <row r="2707" spans="4:4" x14ac:dyDescent="0.45">
      <c r="D2707" t="s">
        <v>995</v>
      </c>
    </row>
    <row r="2708" spans="4:4" x14ac:dyDescent="0.45">
      <c r="D2708" t="s">
        <v>69</v>
      </c>
    </row>
    <row r="2709" spans="4:4" x14ac:dyDescent="0.45">
      <c r="D2709" t="s">
        <v>996</v>
      </c>
    </row>
    <row r="2710" spans="4:4" x14ac:dyDescent="0.45">
      <c r="D2710" t="s">
        <v>132</v>
      </c>
    </row>
    <row r="2711" spans="4:4" x14ac:dyDescent="0.45">
      <c r="D2711" t="s">
        <v>133</v>
      </c>
    </row>
    <row r="2712" spans="4:4" x14ac:dyDescent="0.45">
      <c r="D2712" t="s">
        <v>134</v>
      </c>
    </row>
    <row r="2713" spans="4:4" x14ac:dyDescent="0.45">
      <c r="D2713" t="s">
        <v>127</v>
      </c>
    </row>
    <row r="2714" spans="4:4" x14ac:dyDescent="0.45">
      <c r="D2714" t="s">
        <v>84</v>
      </c>
    </row>
    <row r="2715" spans="4:4" x14ac:dyDescent="0.45">
      <c r="D2715" t="s">
        <v>85</v>
      </c>
    </row>
    <row r="2716" spans="4:4" x14ac:dyDescent="0.45">
      <c r="D2716" t="s">
        <v>997</v>
      </c>
    </row>
    <row r="2717" spans="4:4" x14ac:dyDescent="0.45">
      <c r="D2717" t="s">
        <v>87</v>
      </c>
    </row>
    <row r="2718" spans="4:4" x14ac:dyDescent="0.45">
      <c r="D2718" t="s">
        <v>88</v>
      </c>
    </row>
    <row r="2719" spans="4:4" x14ac:dyDescent="0.45">
      <c r="D2719" t="s">
        <v>66</v>
      </c>
    </row>
    <row r="2720" spans="4:4" x14ac:dyDescent="0.45">
      <c r="D2720" t="s">
        <v>998</v>
      </c>
    </row>
    <row r="2721" spans="4:4" x14ac:dyDescent="0.45">
      <c r="D2721" t="s">
        <v>999</v>
      </c>
    </row>
    <row r="2722" spans="4:4" x14ac:dyDescent="0.45">
      <c r="D2722" t="s">
        <v>69</v>
      </c>
    </row>
    <row r="2723" spans="4:4" x14ac:dyDescent="0.45">
      <c r="D2723" t="s">
        <v>1000</v>
      </c>
    </row>
    <row r="2724" spans="4:4" x14ac:dyDescent="0.45">
      <c r="D2724" t="s">
        <v>132</v>
      </c>
    </row>
    <row r="2725" spans="4:4" x14ac:dyDescent="0.45">
      <c r="D2725" t="s">
        <v>133</v>
      </c>
    </row>
    <row r="2726" spans="4:4" x14ac:dyDescent="0.45">
      <c r="D2726" t="s">
        <v>134</v>
      </c>
    </row>
    <row r="2727" spans="4:4" x14ac:dyDescent="0.45">
      <c r="D2727" t="s">
        <v>127</v>
      </c>
    </row>
    <row r="2728" spans="4:4" x14ac:dyDescent="0.45">
      <c r="D2728" t="s">
        <v>84</v>
      </c>
    </row>
    <row r="2729" spans="4:4" x14ac:dyDescent="0.45">
      <c r="D2729" t="s">
        <v>85</v>
      </c>
    </row>
    <row r="2730" spans="4:4" x14ac:dyDescent="0.45">
      <c r="D2730" t="s">
        <v>1001</v>
      </c>
    </row>
    <row r="2731" spans="4:4" x14ac:dyDescent="0.45">
      <c r="D2731" t="s">
        <v>87</v>
      </c>
    </row>
    <row r="2732" spans="4:4" x14ac:dyDescent="0.45">
      <c r="D2732" t="s">
        <v>88</v>
      </c>
    </row>
    <row r="2733" spans="4:4" x14ac:dyDescent="0.45">
      <c r="D2733" t="s">
        <v>66</v>
      </c>
    </row>
    <row r="2734" spans="4:4" x14ac:dyDescent="0.45">
      <c r="D2734" t="s">
        <v>1002</v>
      </c>
    </row>
    <row r="2735" spans="4:4" x14ac:dyDescent="0.45">
      <c r="D2735" t="s">
        <v>1003</v>
      </c>
    </row>
    <row r="2736" spans="4:4" x14ac:dyDescent="0.45">
      <c r="D2736" t="s">
        <v>69</v>
      </c>
    </row>
    <row r="2737" spans="4:4" x14ac:dyDescent="0.45">
      <c r="D2737" t="s">
        <v>1004</v>
      </c>
    </row>
    <row r="2738" spans="4:4" x14ac:dyDescent="0.45">
      <c r="D2738" t="s">
        <v>132</v>
      </c>
    </row>
    <row r="2739" spans="4:4" x14ac:dyDescent="0.45">
      <c r="D2739" t="s">
        <v>133</v>
      </c>
    </row>
    <row r="2740" spans="4:4" x14ac:dyDescent="0.45">
      <c r="D2740" t="s">
        <v>134</v>
      </c>
    </row>
    <row r="2741" spans="4:4" x14ac:dyDescent="0.45">
      <c r="D2741" t="s">
        <v>127</v>
      </c>
    </row>
    <row r="2742" spans="4:4" x14ac:dyDescent="0.45">
      <c r="D2742" t="s">
        <v>84</v>
      </c>
    </row>
    <row r="2743" spans="4:4" x14ac:dyDescent="0.45">
      <c r="D2743" t="s">
        <v>85</v>
      </c>
    </row>
    <row r="2744" spans="4:4" x14ac:dyDescent="0.45">
      <c r="D2744" t="s">
        <v>140</v>
      </c>
    </row>
    <row r="2745" spans="4:4" x14ac:dyDescent="0.45">
      <c r="D2745" t="s">
        <v>87</v>
      </c>
    </row>
    <row r="2746" spans="4:4" x14ac:dyDescent="0.45">
      <c r="D2746" t="s">
        <v>88</v>
      </c>
    </row>
    <row r="2747" spans="4:4" x14ac:dyDescent="0.45">
      <c r="D2747" t="s">
        <v>66</v>
      </c>
    </row>
    <row r="2748" spans="4:4" x14ac:dyDescent="0.45">
      <c r="D2748" t="s">
        <v>1005</v>
      </c>
    </row>
    <row r="2749" spans="4:4" x14ac:dyDescent="0.45">
      <c r="D2749" t="s">
        <v>1006</v>
      </c>
    </row>
    <row r="2750" spans="4:4" x14ac:dyDescent="0.45">
      <c r="D2750" t="s">
        <v>69</v>
      </c>
    </row>
    <row r="2751" spans="4:4" x14ac:dyDescent="0.45">
      <c r="D2751" t="s">
        <v>1007</v>
      </c>
    </row>
    <row r="2752" spans="4:4" x14ac:dyDescent="0.45">
      <c r="D2752" t="s">
        <v>132</v>
      </c>
    </row>
    <row r="2753" spans="4:4" x14ac:dyDescent="0.45">
      <c r="D2753" t="s">
        <v>133</v>
      </c>
    </row>
    <row r="2754" spans="4:4" x14ac:dyDescent="0.45">
      <c r="D2754" t="s">
        <v>134</v>
      </c>
    </row>
    <row r="2755" spans="4:4" x14ac:dyDescent="0.45">
      <c r="D2755" t="s">
        <v>127</v>
      </c>
    </row>
    <row r="2756" spans="4:4" x14ac:dyDescent="0.45">
      <c r="D2756" t="s">
        <v>84</v>
      </c>
    </row>
    <row r="2757" spans="4:4" x14ac:dyDescent="0.45">
      <c r="D2757" t="s">
        <v>85</v>
      </c>
    </row>
    <row r="2758" spans="4:4" x14ac:dyDescent="0.45">
      <c r="D2758" t="s">
        <v>997</v>
      </c>
    </row>
    <row r="2759" spans="4:4" x14ac:dyDescent="0.45">
      <c r="D2759" t="s">
        <v>87</v>
      </c>
    </row>
    <row r="2760" spans="4:4" x14ac:dyDescent="0.45">
      <c r="D2760" t="s">
        <v>88</v>
      </c>
    </row>
    <row r="2761" spans="4:4" x14ac:dyDescent="0.45">
      <c r="D2761" t="s">
        <v>66</v>
      </c>
    </row>
    <row r="2762" spans="4:4" x14ac:dyDescent="0.45">
      <c r="D2762" t="s">
        <v>1008</v>
      </c>
    </row>
    <row r="2763" spans="4:4" x14ac:dyDescent="0.45">
      <c r="D2763" t="s">
        <v>1009</v>
      </c>
    </row>
    <row r="2764" spans="4:4" x14ac:dyDescent="0.45">
      <c r="D2764" t="s">
        <v>69</v>
      </c>
    </row>
    <row r="2765" spans="4:4" x14ac:dyDescent="0.45">
      <c r="D2765" t="s">
        <v>1010</v>
      </c>
    </row>
    <row r="2766" spans="4:4" x14ac:dyDescent="0.45">
      <c r="D2766" t="s">
        <v>132</v>
      </c>
    </row>
    <row r="2767" spans="4:4" x14ac:dyDescent="0.45">
      <c r="D2767" t="s">
        <v>133</v>
      </c>
    </row>
    <row r="2768" spans="4:4" x14ac:dyDescent="0.45">
      <c r="D2768" t="s">
        <v>134</v>
      </c>
    </row>
    <row r="2769" spans="4:4" x14ac:dyDescent="0.45">
      <c r="D2769" t="s">
        <v>127</v>
      </c>
    </row>
    <row r="2770" spans="4:4" x14ac:dyDescent="0.45">
      <c r="D2770" t="s">
        <v>84</v>
      </c>
    </row>
    <row r="2771" spans="4:4" x14ac:dyDescent="0.45">
      <c r="D2771" t="s">
        <v>85</v>
      </c>
    </row>
    <row r="2772" spans="4:4" x14ac:dyDescent="0.45">
      <c r="D2772" t="s">
        <v>997</v>
      </c>
    </row>
    <row r="2773" spans="4:4" x14ac:dyDescent="0.45">
      <c r="D2773" t="s">
        <v>87</v>
      </c>
    </row>
    <row r="2774" spans="4:4" x14ac:dyDescent="0.45">
      <c r="D2774" t="s">
        <v>88</v>
      </c>
    </row>
    <row r="2775" spans="4:4" x14ac:dyDescent="0.45">
      <c r="D2775" t="s">
        <v>66</v>
      </c>
    </row>
    <row r="2776" spans="4:4" x14ac:dyDescent="0.45">
      <c r="D2776" t="s">
        <v>1011</v>
      </c>
    </row>
    <row r="2777" spans="4:4" x14ac:dyDescent="0.45">
      <c r="D2777" t="s">
        <v>1012</v>
      </c>
    </row>
    <row r="2778" spans="4:4" x14ac:dyDescent="0.45">
      <c r="D2778" t="s">
        <v>69</v>
      </c>
    </row>
    <row r="2779" spans="4:4" x14ac:dyDescent="0.45">
      <c r="D2779" t="s">
        <v>1013</v>
      </c>
    </row>
    <row r="2780" spans="4:4" x14ac:dyDescent="0.45">
      <c r="D2780" t="s">
        <v>132</v>
      </c>
    </row>
    <row r="2781" spans="4:4" x14ac:dyDescent="0.45">
      <c r="D2781" t="s">
        <v>133</v>
      </c>
    </row>
    <row r="2782" spans="4:4" x14ac:dyDescent="0.45">
      <c r="D2782" t="s">
        <v>134</v>
      </c>
    </row>
    <row r="2783" spans="4:4" x14ac:dyDescent="0.45">
      <c r="D2783" t="s">
        <v>127</v>
      </c>
    </row>
    <row r="2784" spans="4:4" x14ac:dyDescent="0.45">
      <c r="D2784" t="s">
        <v>84</v>
      </c>
    </row>
    <row r="2785" spans="4:4" x14ac:dyDescent="0.45">
      <c r="D2785" t="s">
        <v>85</v>
      </c>
    </row>
    <row r="2786" spans="4:4" x14ac:dyDescent="0.45">
      <c r="D2786" t="s">
        <v>1014</v>
      </c>
    </row>
    <row r="2787" spans="4:4" x14ac:dyDescent="0.45">
      <c r="D2787" t="s">
        <v>87</v>
      </c>
    </row>
    <row r="2788" spans="4:4" x14ac:dyDescent="0.45">
      <c r="D2788" t="s">
        <v>88</v>
      </c>
    </row>
    <row r="2789" spans="4:4" x14ac:dyDescent="0.45">
      <c r="D2789" t="s">
        <v>66</v>
      </c>
    </row>
    <row r="2790" spans="4:4" x14ac:dyDescent="0.45">
      <c r="D2790" t="s">
        <v>1015</v>
      </c>
    </row>
    <row r="2791" spans="4:4" x14ac:dyDescent="0.45">
      <c r="D2791" t="s">
        <v>1016</v>
      </c>
    </row>
    <row r="2792" spans="4:4" x14ac:dyDescent="0.45">
      <c r="D2792" t="s">
        <v>69</v>
      </c>
    </row>
    <row r="2793" spans="4:4" x14ac:dyDescent="0.45">
      <c r="D2793" t="s">
        <v>1017</v>
      </c>
    </row>
    <row r="2794" spans="4:4" x14ac:dyDescent="0.45">
      <c r="D2794" t="s">
        <v>132</v>
      </c>
    </row>
    <row r="2795" spans="4:4" x14ac:dyDescent="0.45">
      <c r="D2795" t="s">
        <v>1018</v>
      </c>
    </row>
    <row r="2796" spans="4:4" x14ac:dyDescent="0.45">
      <c r="D2796" t="s">
        <v>1019</v>
      </c>
    </row>
    <row r="2797" spans="4:4" x14ac:dyDescent="0.45">
      <c r="D2797" t="s">
        <v>1020</v>
      </c>
    </row>
    <row r="2798" spans="4:4" x14ac:dyDescent="0.45">
      <c r="D2798" t="s">
        <v>1021</v>
      </c>
    </row>
    <row r="2799" spans="4:4" x14ac:dyDescent="0.45">
      <c r="D2799" t="s">
        <v>134</v>
      </c>
    </row>
    <row r="2800" spans="4:4" x14ac:dyDescent="0.45">
      <c r="D2800" t="s">
        <v>1022</v>
      </c>
    </row>
    <row r="2801" spans="4:4" x14ac:dyDescent="0.45">
      <c r="D2801" t="s">
        <v>84</v>
      </c>
    </row>
    <row r="2802" spans="4:4" x14ac:dyDescent="0.45">
      <c r="D2802" t="s">
        <v>85</v>
      </c>
    </row>
    <row r="2803" spans="4:4" x14ac:dyDescent="0.45">
      <c r="D2803" t="s">
        <v>1023</v>
      </c>
    </row>
    <row r="2804" spans="4:4" x14ac:dyDescent="0.45">
      <c r="D2804" t="s">
        <v>87</v>
      </c>
    </row>
    <row r="2805" spans="4:4" x14ac:dyDescent="0.45">
      <c r="D2805" t="s">
        <v>88</v>
      </c>
    </row>
    <row r="2806" spans="4:4" x14ac:dyDescent="0.45">
      <c r="D2806" t="s">
        <v>66</v>
      </c>
    </row>
    <row r="2807" spans="4:4" x14ac:dyDescent="0.45">
      <c r="D2807" t="s">
        <v>1024</v>
      </c>
    </row>
    <row r="2808" spans="4:4" x14ac:dyDescent="0.45">
      <c r="D2808" t="s">
        <v>1025</v>
      </c>
    </row>
    <row r="2809" spans="4:4" x14ac:dyDescent="0.45">
      <c r="D2809" t="s">
        <v>69</v>
      </c>
    </row>
    <row r="2810" spans="4:4" x14ac:dyDescent="0.45">
      <c r="D2810" t="s">
        <v>1026</v>
      </c>
    </row>
    <row r="2811" spans="4:4" x14ac:dyDescent="0.45">
      <c r="D2811" t="s">
        <v>132</v>
      </c>
    </row>
    <row r="2812" spans="4:4" x14ac:dyDescent="0.45">
      <c r="D2812" t="s">
        <v>133</v>
      </c>
    </row>
    <row r="2813" spans="4:4" x14ac:dyDescent="0.45">
      <c r="D2813" t="s">
        <v>134</v>
      </c>
    </row>
    <row r="2814" spans="4:4" x14ac:dyDescent="0.45">
      <c r="D2814" t="s">
        <v>127</v>
      </c>
    </row>
    <row r="2815" spans="4:4" x14ac:dyDescent="0.45">
      <c r="D2815" t="s">
        <v>84</v>
      </c>
    </row>
    <row r="2816" spans="4:4" x14ac:dyDescent="0.45">
      <c r="D2816" t="s">
        <v>85</v>
      </c>
    </row>
    <row r="2817" spans="4:4" x14ac:dyDescent="0.45">
      <c r="D2817" t="s">
        <v>1027</v>
      </c>
    </row>
    <row r="2818" spans="4:4" x14ac:dyDescent="0.45">
      <c r="D2818" t="s">
        <v>87</v>
      </c>
    </row>
    <row r="2819" spans="4:4" x14ac:dyDescent="0.45">
      <c r="D2819" t="s">
        <v>88</v>
      </c>
    </row>
    <row r="2820" spans="4:4" x14ac:dyDescent="0.45">
      <c r="D2820" t="s">
        <v>66</v>
      </c>
    </row>
    <row r="2821" spans="4:4" x14ac:dyDescent="0.45">
      <c r="D2821" t="s">
        <v>1028</v>
      </c>
    </row>
    <row r="2822" spans="4:4" x14ac:dyDescent="0.45">
      <c r="D2822" t="s">
        <v>1029</v>
      </c>
    </row>
    <row r="2823" spans="4:4" x14ac:dyDescent="0.45">
      <c r="D2823" t="s">
        <v>69</v>
      </c>
    </row>
    <row r="2824" spans="4:4" x14ac:dyDescent="0.45">
      <c r="D2824" t="s">
        <v>1030</v>
      </c>
    </row>
    <row r="2825" spans="4:4" x14ac:dyDescent="0.45">
      <c r="D2825" t="s">
        <v>132</v>
      </c>
    </row>
    <row r="2826" spans="4:4" x14ac:dyDescent="0.45">
      <c r="D2826" t="s">
        <v>133</v>
      </c>
    </row>
    <row r="2827" spans="4:4" x14ac:dyDescent="0.45">
      <c r="D2827" t="s">
        <v>134</v>
      </c>
    </row>
    <row r="2828" spans="4:4" x14ac:dyDescent="0.45">
      <c r="D2828" t="s">
        <v>127</v>
      </c>
    </row>
    <row r="2829" spans="4:4" x14ac:dyDescent="0.45">
      <c r="D2829" t="s">
        <v>84</v>
      </c>
    </row>
    <row r="2830" spans="4:4" x14ac:dyDescent="0.45">
      <c r="D2830" t="s">
        <v>85</v>
      </c>
    </row>
    <row r="2831" spans="4:4" x14ac:dyDescent="0.45">
      <c r="D2831" t="s">
        <v>997</v>
      </c>
    </row>
    <row r="2832" spans="4:4" x14ac:dyDescent="0.45">
      <c r="D2832" t="s">
        <v>87</v>
      </c>
    </row>
    <row r="2833" spans="4:4" x14ac:dyDescent="0.45">
      <c r="D2833" t="s">
        <v>88</v>
      </c>
    </row>
    <row r="2834" spans="4:4" x14ac:dyDescent="0.45">
      <c r="D2834" t="s">
        <v>66</v>
      </c>
    </row>
    <row r="2835" spans="4:4" x14ac:dyDescent="0.45">
      <c r="D2835" t="s">
        <v>1031</v>
      </c>
    </row>
    <row r="2836" spans="4:4" x14ac:dyDescent="0.45">
      <c r="D2836" t="s">
        <v>1032</v>
      </c>
    </row>
    <row r="2837" spans="4:4" x14ac:dyDescent="0.45">
      <c r="D2837" t="s">
        <v>69</v>
      </c>
    </row>
    <row r="2838" spans="4:4" x14ac:dyDescent="0.45">
      <c r="D2838" t="s">
        <v>1033</v>
      </c>
    </row>
    <row r="2839" spans="4:4" x14ac:dyDescent="0.45">
      <c r="D2839" t="s">
        <v>132</v>
      </c>
    </row>
    <row r="2840" spans="4:4" x14ac:dyDescent="0.45">
      <c r="D2840" t="s">
        <v>133</v>
      </c>
    </row>
    <row r="2841" spans="4:4" x14ac:dyDescent="0.45">
      <c r="D2841" t="s">
        <v>134</v>
      </c>
    </row>
    <row r="2842" spans="4:4" x14ac:dyDescent="0.45">
      <c r="D2842" t="s">
        <v>127</v>
      </c>
    </row>
    <row r="2843" spans="4:4" x14ac:dyDescent="0.45">
      <c r="D2843" t="s">
        <v>1034</v>
      </c>
    </row>
    <row r="2844" spans="4:4" x14ac:dyDescent="0.45">
      <c r="D2844" t="s">
        <v>85</v>
      </c>
    </row>
    <row r="2845" spans="4:4" x14ac:dyDescent="0.45">
      <c r="D2845" t="s">
        <v>140</v>
      </c>
    </row>
    <row r="2846" spans="4:4" x14ac:dyDescent="0.45">
      <c r="D2846" t="s">
        <v>87</v>
      </c>
    </row>
    <row r="2847" spans="4:4" x14ac:dyDescent="0.45">
      <c r="D2847" t="s">
        <v>88</v>
      </c>
    </row>
    <row r="2848" spans="4:4" x14ac:dyDescent="0.45">
      <c r="D2848" t="s">
        <v>66</v>
      </c>
    </row>
    <row r="2849" spans="4:4" x14ac:dyDescent="0.45">
      <c r="D2849" t="s">
        <v>1035</v>
      </c>
    </row>
    <row r="2850" spans="4:4" x14ac:dyDescent="0.45">
      <c r="D2850" t="s">
        <v>1036</v>
      </c>
    </row>
    <row r="2851" spans="4:4" x14ac:dyDescent="0.45">
      <c r="D2851" t="s">
        <v>69</v>
      </c>
    </row>
    <row r="2852" spans="4:4" x14ac:dyDescent="0.45">
      <c r="D2852" t="s">
        <v>1037</v>
      </c>
    </row>
    <row r="2853" spans="4:4" x14ac:dyDescent="0.45">
      <c r="D2853" t="s">
        <v>132</v>
      </c>
    </row>
    <row r="2854" spans="4:4" x14ac:dyDescent="0.45">
      <c r="D2854" t="s">
        <v>133</v>
      </c>
    </row>
    <row r="2855" spans="4:4" x14ac:dyDescent="0.45">
      <c r="D2855" t="s">
        <v>134</v>
      </c>
    </row>
    <row r="2856" spans="4:4" x14ac:dyDescent="0.45">
      <c r="D2856" t="s">
        <v>127</v>
      </c>
    </row>
    <row r="2857" spans="4:4" x14ac:dyDescent="0.45">
      <c r="D2857" t="s">
        <v>84</v>
      </c>
    </row>
    <row r="2858" spans="4:4" x14ac:dyDescent="0.45">
      <c r="D2858" t="s">
        <v>85</v>
      </c>
    </row>
    <row r="2859" spans="4:4" x14ac:dyDescent="0.45">
      <c r="D2859" t="s">
        <v>140</v>
      </c>
    </row>
    <row r="2860" spans="4:4" x14ac:dyDescent="0.45">
      <c r="D2860" t="s">
        <v>87</v>
      </c>
    </row>
    <row r="2861" spans="4:4" x14ac:dyDescent="0.45">
      <c r="D2861" t="s">
        <v>88</v>
      </c>
    </row>
    <row r="2862" spans="4:4" x14ac:dyDescent="0.45">
      <c r="D2862" t="s">
        <v>66</v>
      </c>
    </row>
    <row r="2863" spans="4:4" x14ac:dyDescent="0.45">
      <c r="D2863" t="s">
        <v>1038</v>
      </c>
    </row>
    <row r="2864" spans="4:4" x14ac:dyDescent="0.45">
      <c r="D2864" t="s">
        <v>1039</v>
      </c>
    </row>
    <row r="2865" spans="4:4" x14ac:dyDescent="0.45">
      <c r="D2865" t="s">
        <v>69</v>
      </c>
    </row>
    <row r="2866" spans="4:4" x14ac:dyDescent="0.45">
      <c r="D2866" t="s">
        <v>1040</v>
      </c>
    </row>
    <row r="2867" spans="4:4" x14ac:dyDescent="0.45">
      <c r="D2867" t="s">
        <v>132</v>
      </c>
    </row>
    <row r="2868" spans="4:4" x14ac:dyDescent="0.45">
      <c r="D2868" t="s">
        <v>133</v>
      </c>
    </row>
    <row r="2869" spans="4:4" x14ac:dyDescent="0.45">
      <c r="D2869" t="s">
        <v>134</v>
      </c>
    </row>
    <row r="2870" spans="4:4" x14ac:dyDescent="0.45">
      <c r="D2870" t="s">
        <v>251</v>
      </c>
    </row>
    <row r="2871" spans="4:4" x14ac:dyDescent="0.45">
      <c r="D2871" t="s">
        <v>84</v>
      </c>
    </row>
    <row r="2872" spans="4:4" x14ac:dyDescent="0.45">
      <c r="D2872" t="s">
        <v>85</v>
      </c>
    </row>
    <row r="2873" spans="4:4" x14ac:dyDescent="0.45">
      <c r="D2873" t="s">
        <v>1041</v>
      </c>
    </row>
    <row r="2874" spans="4:4" x14ac:dyDescent="0.45">
      <c r="D2874" t="s">
        <v>87</v>
      </c>
    </row>
    <row r="2875" spans="4:4" x14ac:dyDescent="0.45">
      <c r="D2875" t="s">
        <v>88</v>
      </c>
    </row>
    <row r="2876" spans="4:4" x14ac:dyDescent="0.45">
      <c r="D2876" t="s">
        <v>66</v>
      </c>
    </row>
    <row r="2877" spans="4:4" x14ac:dyDescent="0.45">
      <c r="D2877" t="s">
        <v>1042</v>
      </c>
    </row>
    <row r="2878" spans="4:4" x14ac:dyDescent="0.45">
      <c r="D2878" t="s">
        <v>1043</v>
      </c>
    </row>
    <row r="2879" spans="4:4" x14ac:dyDescent="0.45">
      <c r="D2879" t="s">
        <v>69</v>
      </c>
    </row>
    <row r="2880" spans="4:4" x14ac:dyDescent="0.45">
      <c r="D2880" t="s">
        <v>1044</v>
      </c>
    </row>
    <row r="2881" spans="4:4" x14ac:dyDescent="0.45">
      <c r="D2881" t="s">
        <v>132</v>
      </c>
    </row>
    <row r="2882" spans="4:4" x14ac:dyDescent="0.45">
      <c r="D2882" t="s">
        <v>133</v>
      </c>
    </row>
    <row r="2883" spans="4:4" x14ac:dyDescent="0.45">
      <c r="D2883" t="s">
        <v>134</v>
      </c>
    </row>
    <row r="2884" spans="4:4" x14ac:dyDescent="0.45">
      <c r="D2884" t="s">
        <v>127</v>
      </c>
    </row>
    <row r="2885" spans="4:4" x14ac:dyDescent="0.45">
      <c r="D2885" t="s">
        <v>84</v>
      </c>
    </row>
    <row r="2886" spans="4:4" x14ac:dyDescent="0.45">
      <c r="D2886" t="s">
        <v>85</v>
      </c>
    </row>
    <row r="2887" spans="4:4" x14ac:dyDescent="0.45">
      <c r="D2887" t="s">
        <v>1045</v>
      </c>
    </row>
    <row r="2888" spans="4:4" x14ac:dyDescent="0.45">
      <c r="D2888" t="s">
        <v>87</v>
      </c>
    </row>
    <row r="2889" spans="4:4" x14ac:dyDescent="0.45">
      <c r="D2889" t="s">
        <v>88</v>
      </c>
    </row>
    <row r="2890" spans="4:4" x14ac:dyDescent="0.45">
      <c r="D2890" t="s">
        <v>66</v>
      </c>
    </row>
    <row r="2891" spans="4:4" x14ac:dyDescent="0.45">
      <c r="D2891" t="s">
        <v>1046</v>
      </c>
    </row>
    <row r="2892" spans="4:4" x14ac:dyDescent="0.45">
      <c r="D2892" t="s">
        <v>1047</v>
      </c>
    </row>
    <row r="2893" spans="4:4" x14ac:dyDescent="0.45">
      <c r="D2893" t="s">
        <v>69</v>
      </c>
    </row>
    <row r="2894" spans="4:4" x14ac:dyDescent="0.45">
      <c r="D2894" t="s">
        <v>1048</v>
      </c>
    </row>
    <row r="2895" spans="4:4" x14ac:dyDescent="0.45">
      <c r="D2895" t="s">
        <v>132</v>
      </c>
    </row>
    <row r="2896" spans="4:4" x14ac:dyDescent="0.45">
      <c r="D2896" t="s">
        <v>133</v>
      </c>
    </row>
    <row r="2897" spans="4:4" x14ac:dyDescent="0.45">
      <c r="D2897" t="s">
        <v>134</v>
      </c>
    </row>
    <row r="2898" spans="4:4" x14ac:dyDescent="0.45">
      <c r="D2898" t="s">
        <v>1049</v>
      </c>
    </row>
    <row r="2899" spans="4:4" x14ac:dyDescent="0.45">
      <c r="D2899" t="s">
        <v>84</v>
      </c>
    </row>
    <row r="2900" spans="4:4" x14ac:dyDescent="0.45">
      <c r="D2900" t="s">
        <v>85</v>
      </c>
    </row>
    <row r="2901" spans="4:4" x14ac:dyDescent="0.45">
      <c r="D2901" t="s">
        <v>1050</v>
      </c>
    </row>
    <row r="2902" spans="4:4" x14ac:dyDescent="0.45">
      <c r="D2902" t="s">
        <v>87</v>
      </c>
    </row>
    <row r="2903" spans="4:4" x14ac:dyDescent="0.45">
      <c r="D2903" t="s">
        <v>88</v>
      </c>
    </row>
    <row r="2904" spans="4:4" x14ac:dyDescent="0.45">
      <c r="D2904" t="s">
        <v>66</v>
      </c>
    </row>
    <row r="2905" spans="4:4" x14ac:dyDescent="0.45">
      <c r="D2905" t="s">
        <v>1051</v>
      </c>
    </row>
    <row r="2906" spans="4:4" x14ac:dyDescent="0.45">
      <c r="D2906" t="s">
        <v>1052</v>
      </c>
    </row>
    <row r="2907" spans="4:4" x14ac:dyDescent="0.45">
      <c r="D2907" t="s">
        <v>69</v>
      </c>
    </row>
    <row r="2908" spans="4:4" x14ac:dyDescent="0.45">
      <c r="D2908" t="s">
        <v>1053</v>
      </c>
    </row>
    <row r="2909" spans="4:4" x14ac:dyDescent="0.45">
      <c r="D2909" t="s">
        <v>132</v>
      </c>
    </row>
    <row r="2910" spans="4:4" x14ac:dyDescent="0.45">
      <c r="D2910" t="s">
        <v>133</v>
      </c>
    </row>
    <row r="2911" spans="4:4" x14ac:dyDescent="0.45">
      <c r="D2911" t="s">
        <v>134</v>
      </c>
    </row>
    <row r="2912" spans="4:4" x14ac:dyDescent="0.45">
      <c r="D2912" t="s">
        <v>127</v>
      </c>
    </row>
    <row r="2913" spans="4:4" x14ac:dyDescent="0.45">
      <c r="D2913" t="s">
        <v>84</v>
      </c>
    </row>
    <row r="2914" spans="4:4" x14ac:dyDescent="0.45">
      <c r="D2914" t="s">
        <v>85</v>
      </c>
    </row>
    <row r="2915" spans="4:4" x14ac:dyDescent="0.45">
      <c r="D2915" t="s">
        <v>1054</v>
      </c>
    </row>
    <row r="2916" spans="4:4" x14ac:dyDescent="0.45">
      <c r="D2916" t="s">
        <v>87</v>
      </c>
    </row>
    <row r="2917" spans="4:4" x14ac:dyDescent="0.45">
      <c r="D2917" t="s">
        <v>88</v>
      </c>
    </row>
    <row r="2918" spans="4:4" x14ac:dyDescent="0.45">
      <c r="D2918" t="s">
        <v>66</v>
      </c>
    </row>
    <row r="2919" spans="4:4" x14ac:dyDescent="0.45">
      <c r="D2919" t="s">
        <v>1055</v>
      </c>
    </row>
    <row r="2920" spans="4:4" x14ac:dyDescent="0.45">
      <c r="D2920" t="s">
        <v>1056</v>
      </c>
    </row>
    <row r="2921" spans="4:4" x14ac:dyDescent="0.45">
      <c r="D2921" t="s">
        <v>69</v>
      </c>
    </row>
    <row r="2922" spans="4:4" x14ac:dyDescent="0.45">
      <c r="D2922" t="s">
        <v>1057</v>
      </c>
    </row>
    <row r="2923" spans="4:4" x14ac:dyDescent="0.45">
      <c r="D2923" t="s">
        <v>132</v>
      </c>
    </row>
    <row r="2924" spans="4:4" x14ac:dyDescent="0.45">
      <c r="D2924" t="s">
        <v>1058</v>
      </c>
    </row>
    <row r="2925" spans="4:4" x14ac:dyDescent="0.45">
      <c r="D2925" t="s">
        <v>1059</v>
      </c>
    </row>
    <row r="2926" spans="4:4" x14ac:dyDescent="0.45">
      <c r="D2926" t="s">
        <v>1060</v>
      </c>
    </row>
    <row r="2927" spans="4:4" x14ac:dyDescent="0.45">
      <c r="D2927" t="s">
        <v>1061</v>
      </c>
    </row>
    <row r="2928" spans="4:4" x14ac:dyDescent="0.45">
      <c r="D2928" t="s">
        <v>1062</v>
      </c>
    </row>
    <row r="2929" spans="4:4" x14ac:dyDescent="0.45">
      <c r="D2929" t="s">
        <v>1063</v>
      </c>
    </row>
    <row r="2930" spans="4:4" x14ac:dyDescent="0.45">
      <c r="D2930" t="s">
        <v>1064</v>
      </c>
    </row>
    <row r="2931" spans="4:4" x14ac:dyDescent="0.45">
      <c r="D2931" t="s">
        <v>1065</v>
      </c>
    </row>
    <row r="2932" spans="4:4" x14ac:dyDescent="0.45">
      <c r="D2932" t="s">
        <v>134</v>
      </c>
    </row>
    <row r="2933" spans="4:4" x14ac:dyDescent="0.45">
      <c r="D2933" t="s">
        <v>1066</v>
      </c>
    </row>
    <row r="2934" spans="4:4" x14ac:dyDescent="0.45">
      <c r="D2934" t="s">
        <v>84</v>
      </c>
    </row>
    <row r="2935" spans="4:4" x14ac:dyDescent="0.45">
      <c r="D2935" t="s">
        <v>85</v>
      </c>
    </row>
    <row r="2936" spans="4:4" x14ac:dyDescent="0.45">
      <c r="D2936" t="s">
        <v>1067</v>
      </c>
    </row>
    <row r="2937" spans="4:4" x14ac:dyDescent="0.45">
      <c r="D2937" t="s">
        <v>1068</v>
      </c>
    </row>
    <row r="2938" spans="4:4" x14ac:dyDescent="0.45">
      <c r="D2938" t="s">
        <v>87</v>
      </c>
    </row>
    <row r="2939" spans="4:4" x14ac:dyDescent="0.45">
      <c r="D2939" t="s">
        <v>88</v>
      </c>
    </row>
    <row r="2940" spans="4:4" x14ac:dyDescent="0.45">
      <c r="D2940" t="s">
        <v>66</v>
      </c>
    </row>
    <row r="2941" spans="4:4" x14ac:dyDescent="0.45">
      <c r="D2941" t="s">
        <v>1069</v>
      </c>
    </row>
    <row r="2942" spans="4:4" x14ac:dyDescent="0.45">
      <c r="D2942" t="s">
        <v>1070</v>
      </c>
    </row>
    <row r="2943" spans="4:4" x14ac:dyDescent="0.45">
      <c r="D2943" t="s">
        <v>69</v>
      </c>
    </row>
    <row r="2944" spans="4:4" x14ac:dyDescent="0.45">
      <c r="D2944" t="s">
        <v>1071</v>
      </c>
    </row>
    <row r="2945" spans="4:4" x14ac:dyDescent="0.45">
      <c r="D2945" t="s">
        <v>132</v>
      </c>
    </row>
    <row r="2946" spans="4:4" x14ac:dyDescent="0.45">
      <c r="D2946" t="s">
        <v>133</v>
      </c>
    </row>
    <row r="2947" spans="4:4" x14ac:dyDescent="0.45">
      <c r="D2947" t="s">
        <v>134</v>
      </c>
    </row>
    <row r="2948" spans="4:4" x14ac:dyDescent="0.45">
      <c r="D2948" t="s">
        <v>127</v>
      </c>
    </row>
    <row r="2949" spans="4:4" x14ac:dyDescent="0.45">
      <c r="D2949" t="s">
        <v>84</v>
      </c>
    </row>
    <row r="2950" spans="4:4" x14ac:dyDescent="0.45">
      <c r="D2950" t="s">
        <v>85</v>
      </c>
    </row>
    <row r="2951" spans="4:4" x14ac:dyDescent="0.45">
      <c r="D2951" t="s">
        <v>997</v>
      </c>
    </row>
    <row r="2952" spans="4:4" x14ac:dyDescent="0.45">
      <c r="D2952" t="s">
        <v>87</v>
      </c>
    </row>
    <row r="2953" spans="4:4" x14ac:dyDescent="0.45">
      <c r="D2953" t="s">
        <v>88</v>
      </c>
    </row>
    <row r="2954" spans="4:4" x14ac:dyDescent="0.45">
      <c r="D2954" t="s">
        <v>66</v>
      </c>
    </row>
    <row r="2955" spans="4:4" x14ac:dyDescent="0.45">
      <c r="D2955" t="s">
        <v>1072</v>
      </c>
    </row>
    <row r="2956" spans="4:4" x14ac:dyDescent="0.45">
      <c r="D2956" t="s">
        <v>1073</v>
      </c>
    </row>
    <row r="2957" spans="4:4" x14ac:dyDescent="0.45">
      <c r="D2957" t="s">
        <v>69</v>
      </c>
    </row>
    <row r="2958" spans="4:4" x14ac:dyDescent="0.45">
      <c r="D2958" t="s">
        <v>1074</v>
      </c>
    </row>
    <row r="2959" spans="4:4" x14ac:dyDescent="0.45">
      <c r="D2959" t="s">
        <v>132</v>
      </c>
    </row>
    <row r="2960" spans="4:4" x14ac:dyDescent="0.45">
      <c r="D2960" t="s">
        <v>133</v>
      </c>
    </row>
    <row r="2961" spans="4:4" x14ac:dyDescent="0.45">
      <c r="D2961" t="s">
        <v>134</v>
      </c>
    </row>
    <row r="2962" spans="4:4" x14ac:dyDescent="0.45">
      <c r="D2962" t="s">
        <v>127</v>
      </c>
    </row>
    <row r="2963" spans="4:4" x14ac:dyDescent="0.45">
      <c r="D2963" t="s">
        <v>139</v>
      </c>
    </row>
    <row r="2964" spans="4:4" x14ac:dyDescent="0.45">
      <c r="D2964" t="s">
        <v>85</v>
      </c>
    </row>
    <row r="2965" spans="4:4" x14ac:dyDescent="0.45">
      <c r="D2965" t="s">
        <v>140</v>
      </c>
    </row>
    <row r="2966" spans="4:4" x14ac:dyDescent="0.45">
      <c r="D2966" t="s">
        <v>87</v>
      </c>
    </row>
    <row r="2967" spans="4:4" x14ac:dyDescent="0.45">
      <c r="D2967" t="s">
        <v>88</v>
      </c>
    </row>
    <row r="2968" spans="4:4" x14ac:dyDescent="0.45">
      <c r="D2968" t="s">
        <v>66</v>
      </c>
    </row>
    <row r="2969" spans="4:4" x14ac:dyDescent="0.45">
      <c r="D2969" t="s">
        <v>1075</v>
      </c>
    </row>
    <row r="2970" spans="4:4" x14ac:dyDescent="0.45">
      <c r="D2970" t="s">
        <v>1076</v>
      </c>
    </row>
    <row r="2971" spans="4:4" x14ac:dyDescent="0.45">
      <c r="D2971" t="s">
        <v>69</v>
      </c>
    </row>
    <row r="2972" spans="4:4" x14ac:dyDescent="0.45">
      <c r="D2972" t="s">
        <v>1077</v>
      </c>
    </row>
    <row r="2973" spans="4:4" x14ac:dyDescent="0.45">
      <c r="D2973" t="s">
        <v>132</v>
      </c>
    </row>
    <row r="2974" spans="4:4" x14ac:dyDescent="0.45">
      <c r="D2974" t="s">
        <v>133</v>
      </c>
    </row>
    <row r="2975" spans="4:4" x14ac:dyDescent="0.45">
      <c r="D2975" t="s">
        <v>134</v>
      </c>
    </row>
    <row r="2976" spans="4:4" x14ac:dyDescent="0.45">
      <c r="D2976" t="s">
        <v>127</v>
      </c>
    </row>
    <row r="2977" spans="4:4" x14ac:dyDescent="0.45">
      <c r="D2977" t="s">
        <v>84</v>
      </c>
    </row>
    <row r="2978" spans="4:4" x14ac:dyDescent="0.45">
      <c r="D2978" t="s">
        <v>85</v>
      </c>
    </row>
    <row r="2979" spans="4:4" x14ac:dyDescent="0.45">
      <c r="D2979" t="s">
        <v>1078</v>
      </c>
    </row>
    <row r="2980" spans="4:4" x14ac:dyDescent="0.45">
      <c r="D2980" t="s">
        <v>87</v>
      </c>
    </row>
    <row r="2981" spans="4:4" x14ac:dyDescent="0.45">
      <c r="D2981" t="s">
        <v>88</v>
      </c>
    </row>
    <row r="2982" spans="4:4" x14ac:dyDescent="0.45">
      <c r="D2982" t="s">
        <v>66</v>
      </c>
    </row>
    <row r="2983" spans="4:4" x14ac:dyDescent="0.45">
      <c r="D2983" t="s">
        <v>1079</v>
      </c>
    </row>
    <row r="2984" spans="4:4" x14ac:dyDescent="0.45">
      <c r="D2984" t="s">
        <v>1080</v>
      </c>
    </row>
    <row r="2985" spans="4:4" x14ac:dyDescent="0.45">
      <c r="D2985" t="s">
        <v>69</v>
      </c>
    </row>
    <row r="2986" spans="4:4" x14ac:dyDescent="0.45">
      <c r="D2986" t="s">
        <v>1081</v>
      </c>
    </row>
    <row r="2987" spans="4:4" x14ac:dyDescent="0.45">
      <c r="D2987" t="s">
        <v>132</v>
      </c>
    </row>
    <row r="2988" spans="4:4" x14ac:dyDescent="0.45">
      <c r="D2988" t="s">
        <v>133</v>
      </c>
    </row>
    <row r="2989" spans="4:4" x14ac:dyDescent="0.45">
      <c r="D2989" t="s">
        <v>134</v>
      </c>
    </row>
    <row r="2990" spans="4:4" x14ac:dyDescent="0.45">
      <c r="D2990" t="s">
        <v>127</v>
      </c>
    </row>
    <row r="2991" spans="4:4" x14ac:dyDescent="0.45">
      <c r="D2991" t="s">
        <v>84</v>
      </c>
    </row>
    <row r="2992" spans="4:4" x14ac:dyDescent="0.45">
      <c r="D2992" t="s">
        <v>85</v>
      </c>
    </row>
    <row r="2993" spans="4:4" x14ac:dyDescent="0.45">
      <c r="D2993" t="s">
        <v>1082</v>
      </c>
    </row>
    <row r="2994" spans="4:4" x14ac:dyDescent="0.45">
      <c r="D2994" t="s">
        <v>87</v>
      </c>
    </row>
    <row r="2995" spans="4:4" x14ac:dyDescent="0.45">
      <c r="D2995" t="s">
        <v>88</v>
      </c>
    </row>
    <row r="2996" spans="4:4" x14ac:dyDescent="0.45">
      <c r="D2996" t="s">
        <v>66</v>
      </c>
    </row>
    <row r="2997" spans="4:4" x14ac:dyDescent="0.45">
      <c r="D2997" t="s">
        <v>1083</v>
      </c>
    </row>
    <row r="2998" spans="4:4" x14ac:dyDescent="0.45">
      <c r="D2998" t="s">
        <v>1084</v>
      </c>
    </row>
    <row r="2999" spans="4:4" x14ac:dyDescent="0.45">
      <c r="D2999" t="s">
        <v>69</v>
      </c>
    </row>
    <row r="3000" spans="4:4" x14ac:dyDescent="0.45">
      <c r="D3000" t="s">
        <v>1085</v>
      </c>
    </row>
    <row r="3001" spans="4:4" x14ac:dyDescent="0.45">
      <c r="D3001" t="s">
        <v>132</v>
      </c>
    </row>
    <row r="3002" spans="4:4" x14ac:dyDescent="0.45">
      <c r="D3002" t="s">
        <v>1086</v>
      </c>
    </row>
    <row r="3003" spans="4:4" x14ac:dyDescent="0.45">
      <c r="D3003" t="s">
        <v>1087</v>
      </c>
    </row>
    <row r="3004" spans="4:4" x14ac:dyDescent="0.45">
      <c r="D3004" t="s">
        <v>134</v>
      </c>
    </row>
    <row r="3005" spans="4:4" x14ac:dyDescent="0.45">
      <c r="D3005" t="s">
        <v>1022</v>
      </c>
    </row>
    <row r="3006" spans="4:4" x14ac:dyDescent="0.45">
      <c r="D3006" t="s">
        <v>84</v>
      </c>
    </row>
    <row r="3007" spans="4:4" x14ac:dyDescent="0.45">
      <c r="D3007" t="s">
        <v>85</v>
      </c>
    </row>
    <row r="3008" spans="4:4" x14ac:dyDescent="0.45">
      <c r="D3008" t="s">
        <v>1088</v>
      </c>
    </row>
    <row r="3009" spans="4:4" x14ac:dyDescent="0.45">
      <c r="D3009" t="s">
        <v>87</v>
      </c>
    </row>
    <row r="3010" spans="4:4" x14ac:dyDescent="0.45">
      <c r="D3010" t="s">
        <v>88</v>
      </c>
    </row>
    <row r="3011" spans="4:4" x14ac:dyDescent="0.45">
      <c r="D3011" t="s">
        <v>66</v>
      </c>
    </row>
    <row r="3012" spans="4:4" x14ac:dyDescent="0.45">
      <c r="D3012" t="s">
        <v>1089</v>
      </c>
    </row>
    <row r="3013" spans="4:4" x14ac:dyDescent="0.45">
      <c r="D3013" t="s">
        <v>1090</v>
      </c>
    </row>
    <row r="3014" spans="4:4" x14ac:dyDescent="0.45">
      <c r="D3014" t="s">
        <v>69</v>
      </c>
    </row>
    <row r="3015" spans="4:4" x14ac:dyDescent="0.45">
      <c r="D3015" t="s">
        <v>1091</v>
      </c>
    </row>
    <row r="3016" spans="4:4" x14ac:dyDescent="0.45">
      <c r="D3016" t="s">
        <v>132</v>
      </c>
    </row>
    <row r="3017" spans="4:4" x14ac:dyDescent="0.45">
      <c r="D3017" t="s">
        <v>133</v>
      </c>
    </row>
    <row r="3018" spans="4:4" x14ac:dyDescent="0.45">
      <c r="D3018" t="s">
        <v>1092</v>
      </c>
    </row>
    <row r="3019" spans="4:4" x14ac:dyDescent="0.45">
      <c r="D3019" t="s">
        <v>127</v>
      </c>
    </row>
    <row r="3020" spans="4:4" x14ac:dyDescent="0.45">
      <c r="D3020" t="s">
        <v>84</v>
      </c>
    </row>
    <row r="3021" spans="4:4" x14ac:dyDescent="0.45">
      <c r="D3021" t="s">
        <v>85</v>
      </c>
    </row>
    <row r="3022" spans="4:4" x14ac:dyDescent="0.45">
      <c r="D3022" t="s">
        <v>1093</v>
      </c>
    </row>
    <row r="3023" spans="4:4" x14ac:dyDescent="0.45">
      <c r="D3023" t="s">
        <v>87</v>
      </c>
    </row>
    <row r="3024" spans="4:4" x14ac:dyDescent="0.45">
      <c r="D3024" t="s">
        <v>88</v>
      </c>
    </row>
    <row r="3025" spans="4:4" x14ac:dyDescent="0.45">
      <c r="D3025" t="s">
        <v>66</v>
      </c>
    </row>
    <row r="3026" spans="4:4" x14ac:dyDescent="0.45">
      <c r="D3026" t="s">
        <v>1094</v>
      </c>
    </row>
    <row r="3027" spans="4:4" x14ac:dyDescent="0.45">
      <c r="D3027" t="s">
        <v>1095</v>
      </c>
    </row>
    <row r="3028" spans="4:4" x14ac:dyDescent="0.45">
      <c r="D3028" t="s">
        <v>69</v>
      </c>
    </row>
    <row r="3029" spans="4:4" x14ac:dyDescent="0.45">
      <c r="D3029" t="s">
        <v>1096</v>
      </c>
    </row>
    <row r="3030" spans="4:4" x14ac:dyDescent="0.45">
      <c r="D3030" t="s">
        <v>132</v>
      </c>
    </row>
    <row r="3031" spans="4:4" x14ac:dyDescent="0.45">
      <c r="D3031" t="s">
        <v>133</v>
      </c>
    </row>
    <row r="3032" spans="4:4" x14ac:dyDescent="0.45">
      <c r="D3032" t="s">
        <v>1097</v>
      </c>
    </row>
    <row r="3033" spans="4:4" x14ac:dyDescent="0.45">
      <c r="D3033" t="s">
        <v>127</v>
      </c>
    </row>
    <row r="3034" spans="4:4" x14ac:dyDescent="0.45">
      <c r="D3034" t="s">
        <v>84</v>
      </c>
    </row>
    <row r="3035" spans="4:4" x14ac:dyDescent="0.45">
      <c r="D3035" t="s">
        <v>85</v>
      </c>
    </row>
    <row r="3036" spans="4:4" x14ac:dyDescent="0.45">
      <c r="D3036" t="s">
        <v>1098</v>
      </c>
    </row>
    <row r="3037" spans="4:4" x14ac:dyDescent="0.45">
      <c r="D3037" t="s">
        <v>87</v>
      </c>
    </row>
    <row r="3038" spans="4:4" x14ac:dyDescent="0.45">
      <c r="D3038" t="s">
        <v>88</v>
      </c>
    </row>
    <row r="3039" spans="4:4" x14ac:dyDescent="0.45">
      <c r="D3039" t="s">
        <v>66</v>
      </c>
    </row>
    <row r="3040" spans="4:4" x14ac:dyDescent="0.45">
      <c r="D3040" t="s">
        <v>1099</v>
      </c>
    </row>
    <row r="3041" spans="4:4" x14ac:dyDescent="0.45">
      <c r="D3041" t="s">
        <v>1100</v>
      </c>
    </row>
    <row r="3042" spans="4:4" x14ac:dyDescent="0.45">
      <c r="D3042" t="s">
        <v>69</v>
      </c>
    </row>
    <row r="3043" spans="4:4" x14ac:dyDescent="0.45">
      <c r="D3043" t="s">
        <v>1101</v>
      </c>
    </row>
    <row r="3044" spans="4:4" x14ac:dyDescent="0.45">
      <c r="D3044" t="s">
        <v>132</v>
      </c>
    </row>
    <row r="3045" spans="4:4" x14ac:dyDescent="0.45">
      <c r="D3045" t="s">
        <v>133</v>
      </c>
    </row>
    <row r="3046" spans="4:4" x14ac:dyDescent="0.45">
      <c r="D3046" t="s">
        <v>1102</v>
      </c>
    </row>
    <row r="3047" spans="4:4" x14ac:dyDescent="0.45">
      <c r="D3047" t="s">
        <v>127</v>
      </c>
    </row>
    <row r="3048" spans="4:4" x14ac:dyDescent="0.45">
      <c r="D3048" t="s">
        <v>139</v>
      </c>
    </row>
    <row r="3049" spans="4:4" x14ac:dyDescent="0.45">
      <c r="D3049" t="s">
        <v>85</v>
      </c>
    </row>
    <row r="3050" spans="4:4" x14ac:dyDescent="0.45">
      <c r="D3050" t="s">
        <v>1103</v>
      </c>
    </row>
    <row r="3051" spans="4:4" x14ac:dyDescent="0.45">
      <c r="D3051" t="s">
        <v>87</v>
      </c>
    </row>
    <row r="3052" spans="4:4" x14ac:dyDescent="0.45">
      <c r="D3052" t="s">
        <v>88</v>
      </c>
    </row>
    <row r="3053" spans="4:4" x14ac:dyDescent="0.45">
      <c r="D3053" t="s">
        <v>66</v>
      </c>
    </row>
    <row r="3054" spans="4:4" x14ac:dyDescent="0.45">
      <c r="D3054" t="s">
        <v>1104</v>
      </c>
    </row>
    <row r="3055" spans="4:4" x14ac:dyDescent="0.45">
      <c r="D3055" t="s">
        <v>1105</v>
      </c>
    </row>
    <row r="3056" spans="4:4" x14ac:dyDescent="0.45">
      <c r="D3056" t="s">
        <v>69</v>
      </c>
    </row>
    <row r="3057" spans="4:4" x14ac:dyDescent="0.45">
      <c r="D3057" t="s">
        <v>1106</v>
      </c>
    </row>
    <row r="3058" spans="4:4" x14ac:dyDescent="0.45">
      <c r="D3058" t="s">
        <v>1107</v>
      </c>
    </row>
    <row r="3059" spans="4:4" x14ac:dyDescent="0.45">
      <c r="D3059" t="s">
        <v>1108</v>
      </c>
    </row>
    <row r="3060" spans="4:4" x14ac:dyDescent="0.45">
      <c r="D3060" t="s">
        <v>1109</v>
      </c>
    </row>
    <row r="3061" spans="4:4" x14ac:dyDescent="0.45">
      <c r="D3061" t="s">
        <v>1110</v>
      </c>
    </row>
    <row r="3062" spans="4:4" x14ac:dyDescent="0.45">
      <c r="D3062" t="s">
        <v>1111</v>
      </c>
    </row>
    <row r="3063" spans="4:4" x14ac:dyDescent="0.45">
      <c r="D3063" t="s">
        <v>1112</v>
      </c>
    </row>
    <row r="3064" spans="4:4" x14ac:dyDescent="0.45">
      <c r="D3064" t="s">
        <v>1113</v>
      </c>
    </row>
    <row r="3065" spans="4:4" x14ac:dyDescent="0.45">
      <c r="D3065" t="s">
        <v>1114</v>
      </c>
    </row>
    <row r="3066" spans="4:4" x14ac:dyDescent="0.45">
      <c r="D3066" t="s">
        <v>1115</v>
      </c>
    </row>
    <row r="3067" spans="4:4" x14ac:dyDescent="0.45">
      <c r="D3067" t="s">
        <v>1116</v>
      </c>
    </row>
    <row r="3068" spans="4:4" x14ac:dyDescent="0.45">
      <c r="D3068" t="s">
        <v>1117</v>
      </c>
    </row>
    <row r="3069" spans="4:4" x14ac:dyDescent="0.45">
      <c r="D3069" t="s">
        <v>1118</v>
      </c>
    </row>
    <row r="3070" spans="4:4" x14ac:dyDescent="0.45">
      <c r="D3070" t="s">
        <v>1119</v>
      </c>
    </row>
    <row r="3071" spans="4:4" x14ac:dyDescent="0.45">
      <c r="D3071" t="s">
        <v>1120</v>
      </c>
    </row>
    <row r="3072" spans="4:4" x14ac:dyDescent="0.45">
      <c r="D3072" t="s">
        <v>1121</v>
      </c>
    </row>
    <row r="3073" spans="4:4" x14ac:dyDescent="0.45">
      <c r="D3073" t="s">
        <v>1122</v>
      </c>
    </row>
    <row r="3074" spans="4:4" x14ac:dyDescent="0.45">
      <c r="D3074" t="s">
        <v>1123</v>
      </c>
    </row>
    <row r="3075" spans="4:4" x14ac:dyDescent="0.45">
      <c r="D3075" t="s">
        <v>1124</v>
      </c>
    </row>
    <row r="3076" spans="4:4" x14ac:dyDescent="0.45">
      <c r="D3076" t="s">
        <v>1125</v>
      </c>
    </row>
    <row r="3077" spans="4:4" x14ac:dyDescent="0.45">
      <c r="D3077" t="s">
        <v>1126</v>
      </c>
    </row>
    <row r="3078" spans="4:4" x14ac:dyDescent="0.45">
      <c r="D3078" t="s">
        <v>84</v>
      </c>
    </row>
    <row r="3079" spans="4:4" x14ac:dyDescent="0.45">
      <c r="D3079" t="s">
        <v>85</v>
      </c>
    </row>
    <row r="3080" spans="4:4" x14ac:dyDescent="0.45">
      <c r="D3080" t="s">
        <v>1127</v>
      </c>
    </row>
    <row r="3081" spans="4:4" x14ac:dyDescent="0.45">
      <c r="D3081" t="s">
        <v>101</v>
      </c>
    </row>
    <row r="3082" spans="4:4" x14ac:dyDescent="0.45">
      <c r="D3082" t="s">
        <v>1128</v>
      </c>
    </row>
    <row r="3083" spans="4:4" x14ac:dyDescent="0.45">
      <c r="D3083" t="s">
        <v>1129</v>
      </c>
    </row>
    <row r="3084" spans="4:4" x14ac:dyDescent="0.45">
      <c r="D3084" t="s">
        <v>1130</v>
      </c>
    </row>
    <row r="3085" spans="4:4" x14ac:dyDescent="0.45">
      <c r="D3085" t="s">
        <v>1131</v>
      </c>
    </row>
    <row r="3086" spans="4:4" x14ac:dyDescent="0.45">
      <c r="D3086" t="s">
        <v>88</v>
      </c>
    </row>
    <row r="3087" spans="4:4" x14ac:dyDescent="0.45">
      <c r="D3087" t="s">
        <v>66</v>
      </c>
    </row>
    <row r="3088" spans="4:4" x14ac:dyDescent="0.45">
      <c r="D3088" t="s">
        <v>1132</v>
      </c>
    </row>
    <row r="3089" spans="4:4" x14ac:dyDescent="0.45">
      <c r="D3089" t="s">
        <v>1133</v>
      </c>
    </row>
    <row r="3090" spans="4:4" x14ac:dyDescent="0.45">
      <c r="D3090" t="s">
        <v>1134</v>
      </c>
    </row>
    <row r="3091" spans="4:4" x14ac:dyDescent="0.45">
      <c r="D3091" t="s">
        <v>69</v>
      </c>
    </row>
    <row r="3092" spans="4:4" x14ac:dyDescent="0.45">
      <c r="D3092" t="s">
        <v>1135</v>
      </c>
    </row>
    <row r="3093" spans="4:4" x14ac:dyDescent="0.45">
      <c r="D3093" t="s">
        <v>132</v>
      </c>
    </row>
    <row r="3094" spans="4:4" x14ac:dyDescent="0.45">
      <c r="D3094" t="s">
        <v>133</v>
      </c>
    </row>
    <row r="3095" spans="4:4" x14ac:dyDescent="0.45">
      <c r="D3095" t="s">
        <v>1136</v>
      </c>
    </row>
    <row r="3096" spans="4:4" x14ac:dyDescent="0.45">
      <c r="D3096" t="s">
        <v>127</v>
      </c>
    </row>
    <row r="3097" spans="4:4" x14ac:dyDescent="0.45">
      <c r="D3097" t="s">
        <v>84</v>
      </c>
    </row>
    <row r="3098" spans="4:4" x14ac:dyDescent="0.45">
      <c r="D3098" t="s">
        <v>85</v>
      </c>
    </row>
    <row r="3099" spans="4:4" x14ac:dyDescent="0.45">
      <c r="D3099" t="s">
        <v>1137</v>
      </c>
    </row>
    <row r="3100" spans="4:4" x14ac:dyDescent="0.45">
      <c r="D3100" t="s">
        <v>87</v>
      </c>
    </row>
    <row r="3101" spans="4:4" x14ac:dyDescent="0.45">
      <c r="D3101" t="s">
        <v>88</v>
      </c>
    </row>
    <row r="3102" spans="4:4" x14ac:dyDescent="0.45">
      <c r="D3102" t="s">
        <v>66</v>
      </c>
    </row>
    <row r="3103" spans="4:4" x14ac:dyDescent="0.45">
      <c r="D3103" t="s">
        <v>1138</v>
      </c>
    </row>
    <row r="3104" spans="4:4" x14ac:dyDescent="0.45">
      <c r="D3104" t="s">
        <v>1139</v>
      </c>
    </row>
    <row r="3105" spans="4:4" x14ac:dyDescent="0.45">
      <c r="D3105" t="s">
        <v>69</v>
      </c>
    </row>
    <row r="3106" spans="4:4" x14ac:dyDescent="0.45">
      <c r="D3106" t="s">
        <v>1140</v>
      </c>
    </row>
    <row r="3107" spans="4:4" x14ac:dyDescent="0.45">
      <c r="D3107" t="s">
        <v>1141</v>
      </c>
    </row>
    <row r="3108" spans="4:4" x14ac:dyDescent="0.45">
      <c r="D3108" t="s">
        <v>133</v>
      </c>
    </row>
    <row r="3109" spans="4:4" x14ac:dyDescent="0.45">
      <c r="D3109" t="s">
        <v>1142</v>
      </c>
    </row>
    <row r="3110" spans="4:4" x14ac:dyDescent="0.45">
      <c r="D3110" t="s">
        <v>127</v>
      </c>
    </row>
    <row r="3111" spans="4:4" x14ac:dyDescent="0.45">
      <c r="D3111" t="s">
        <v>84</v>
      </c>
    </row>
    <row r="3112" spans="4:4" x14ac:dyDescent="0.45">
      <c r="D3112" t="s">
        <v>85</v>
      </c>
    </row>
    <row r="3113" spans="4:4" x14ac:dyDescent="0.45">
      <c r="D3113" t="s">
        <v>1143</v>
      </c>
    </row>
    <row r="3114" spans="4:4" x14ac:dyDescent="0.45">
      <c r="D3114" t="s">
        <v>87</v>
      </c>
    </row>
    <row r="3115" spans="4:4" x14ac:dyDescent="0.45">
      <c r="D3115" t="s">
        <v>88</v>
      </c>
    </row>
    <row r="3116" spans="4:4" x14ac:dyDescent="0.45">
      <c r="D3116" t="s">
        <v>66</v>
      </c>
    </row>
    <row r="3117" spans="4:4" x14ac:dyDescent="0.45">
      <c r="D3117" t="s">
        <v>1144</v>
      </c>
    </row>
    <row r="3118" spans="4:4" x14ac:dyDescent="0.45">
      <c r="D3118" t="s">
        <v>1145</v>
      </c>
    </row>
    <row r="3119" spans="4:4" x14ac:dyDescent="0.45">
      <c r="D3119" t="s">
        <v>69</v>
      </c>
    </row>
    <row r="3120" spans="4:4" x14ac:dyDescent="0.45">
      <c r="D3120" t="s">
        <v>1146</v>
      </c>
    </row>
    <row r="3121" spans="4:4" x14ac:dyDescent="0.45">
      <c r="D3121" t="s">
        <v>1147</v>
      </c>
    </row>
    <row r="3122" spans="4:4" x14ac:dyDescent="0.45">
      <c r="D3122" t="s">
        <v>133</v>
      </c>
    </row>
    <row r="3123" spans="4:4" x14ac:dyDescent="0.45">
      <c r="D3123" t="s">
        <v>1148</v>
      </c>
    </row>
    <row r="3124" spans="4:4" x14ac:dyDescent="0.45">
      <c r="D3124" t="s">
        <v>127</v>
      </c>
    </row>
    <row r="3125" spans="4:4" x14ac:dyDescent="0.45">
      <c r="D3125" t="s">
        <v>84</v>
      </c>
    </row>
    <row r="3126" spans="4:4" x14ac:dyDescent="0.45">
      <c r="D3126" t="s">
        <v>85</v>
      </c>
    </row>
    <row r="3127" spans="4:4" x14ac:dyDescent="0.45">
      <c r="D3127" t="s">
        <v>1149</v>
      </c>
    </row>
    <row r="3128" spans="4:4" x14ac:dyDescent="0.45">
      <c r="D3128" t="s">
        <v>87</v>
      </c>
    </row>
    <row r="3129" spans="4:4" x14ac:dyDescent="0.45">
      <c r="D3129" t="s">
        <v>88</v>
      </c>
    </row>
    <row r="3130" spans="4:4" x14ac:dyDescent="0.45">
      <c r="D3130" t="s">
        <v>66</v>
      </c>
    </row>
    <row r="3131" spans="4:4" x14ac:dyDescent="0.45">
      <c r="D3131" t="s">
        <v>1150</v>
      </c>
    </row>
    <row r="3132" spans="4:4" x14ac:dyDescent="0.45">
      <c r="D3132" t="s">
        <v>1151</v>
      </c>
    </row>
    <row r="3133" spans="4:4" x14ac:dyDescent="0.45">
      <c r="D3133" t="s">
        <v>69</v>
      </c>
    </row>
    <row r="3134" spans="4:4" x14ac:dyDescent="0.45">
      <c r="D3134" t="s">
        <v>1152</v>
      </c>
    </row>
    <row r="3135" spans="4:4" x14ac:dyDescent="0.45">
      <c r="D3135" t="s">
        <v>1153</v>
      </c>
    </row>
    <row r="3136" spans="4:4" x14ac:dyDescent="0.45">
      <c r="D3136" t="s">
        <v>133</v>
      </c>
    </row>
    <row r="3137" spans="4:4" x14ac:dyDescent="0.45">
      <c r="D3137" t="s">
        <v>1154</v>
      </c>
    </row>
    <row r="3138" spans="4:4" x14ac:dyDescent="0.45">
      <c r="D3138" t="s">
        <v>127</v>
      </c>
    </row>
    <row r="3139" spans="4:4" x14ac:dyDescent="0.45">
      <c r="D3139" t="s">
        <v>84</v>
      </c>
    </row>
    <row r="3140" spans="4:4" x14ac:dyDescent="0.45">
      <c r="D3140" t="s">
        <v>85</v>
      </c>
    </row>
    <row r="3141" spans="4:4" x14ac:dyDescent="0.45">
      <c r="D3141" t="s">
        <v>1149</v>
      </c>
    </row>
    <row r="3142" spans="4:4" x14ac:dyDescent="0.45">
      <c r="D3142" t="s">
        <v>87</v>
      </c>
    </row>
    <row r="3143" spans="4:4" x14ac:dyDescent="0.45">
      <c r="D3143" t="s">
        <v>88</v>
      </c>
    </row>
    <row r="3144" spans="4:4" x14ac:dyDescent="0.45">
      <c r="D3144" t="s">
        <v>66</v>
      </c>
    </row>
    <row r="3145" spans="4:4" x14ac:dyDescent="0.45">
      <c r="D3145" t="s">
        <v>1155</v>
      </c>
    </row>
    <row r="3146" spans="4:4" x14ac:dyDescent="0.45">
      <c r="D3146" t="s">
        <v>1156</v>
      </c>
    </row>
    <row r="3147" spans="4:4" x14ac:dyDescent="0.45">
      <c r="D3147" t="s">
        <v>69</v>
      </c>
    </row>
    <row r="3148" spans="4:4" x14ac:dyDescent="0.45">
      <c r="D3148" t="s">
        <v>1157</v>
      </c>
    </row>
    <row r="3149" spans="4:4" x14ac:dyDescent="0.45">
      <c r="D3149" t="s">
        <v>1158</v>
      </c>
    </row>
    <row r="3150" spans="4:4" x14ac:dyDescent="0.45">
      <c r="D3150" t="s">
        <v>1159</v>
      </c>
    </row>
    <row r="3151" spans="4:4" x14ac:dyDescent="0.45">
      <c r="D3151" t="s">
        <v>1160</v>
      </c>
    </row>
    <row r="3152" spans="4:4" x14ac:dyDescent="0.45">
      <c r="D3152" t="s">
        <v>1161</v>
      </c>
    </row>
    <row r="3153" spans="4:4" x14ac:dyDescent="0.45">
      <c r="D3153" t="s">
        <v>1162</v>
      </c>
    </row>
    <row r="3154" spans="4:4" x14ac:dyDescent="0.45">
      <c r="D3154" t="s">
        <v>1163</v>
      </c>
    </row>
    <row r="3155" spans="4:4" x14ac:dyDescent="0.45">
      <c r="D3155" t="s">
        <v>1164</v>
      </c>
    </row>
    <row r="3156" spans="4:4" x14ac:dyDescent="0.45">
      <c r="D3156" t="s">
        <v>1165</v>
      </c>
    </row>
    <row r="3157" spans="4:4" x14ac:dyDescent="0.45">
      <c r="D3157" t="s">
        <v>1166</v>
      </c>
    </row>
    <row r="3158" spans="4:4" x14ac:dyDescent="0.45">
      <c r="D3158" t="s">
        <v>1167</v>
      </c>
    </row>
    <row r="3159" spans="4:4" x14ac:dyDescent="0.45">
      <c r="D3159" t="s">
        <v>1168</v>
      </c>
    </row>
    <row r="3160" spans="4:4" x14ac:dyDescent="0.45">
      <c r="D3160" t="s">
        <v>1169</v>
      </c>
    </row>
    <row r="3161" spans="4:4" x14ac:dyDescent="0.45">
      <c r="D3161" t="s">
        <v>84</v>
      </c>
    </row>
    <row r="3162" spans="4:4" x14ac:dyDescent="0.45">
      <c r="D3162" t="s">
        <v>85</v>
      </c>
    </row>
    <row r="3163" spans="4:4" x14ac:dyDescent="0.45">
      <c r="D3163" t="s">
        <v>1170</v>
      </c>
    </row>
    <row r="3164" spans="4:4" x14ac:dyDescent="0.45">
      <c r="D3164" t="s">
        <v>87</v>
      </c>
    </row>
    <row r="3165" spans="4:4" x14ac:dyDescent="0.45">
      <c r="D3165" t="s">
        <v>88</v>
      </c>
    </row>
    <row r="3166" spans="4:4" x14ac:dyDescent="0.45">
      <c r="D3166" t="s">
        <v>66</v>
      </c>
    </row>
    <row r="3167" spans="4:4" x14ac:dyDescent="0.45">
      <c r="D3167" t="s">
        <v>1171</v>
      </c>
    </row>
    <row r="3168" spans="4:4" x14ac:dyDescent="0.45">
      <c r="D3168" t="s">
        <v>1172</v>
      </c>
    </row>
    <row r="3169" spans="4:4" x14ac:dyDescent="0.45">
      <c r="D3169" t="s">
        <v>69</v>
      </c>
    </row>
    <row r="3170" spans="4:4" x14ac:dyDescent="0.45">
      <c r="D3170" t="s">
        <v>1173</v>
      </c>
    </row>
    <row r="3171" spans="4:4" x14ac:dyDescent="0.45">
      <c r="D3171" t="s">
        <v>1174</v>
      </c>
    </row>
    <row r="3172" spans="4:4" x14ac:dyDescent="0.45">
      <c r="D3172" t="s">
        <v>1159</v>
      </c>
    </row>
    <row r="3173" spans="4:4" x14ac:dyDescent="0.45">
      <c r="D3173" t="s">
        <v>1175</v>
      </c>
    </row>
    <row r="3174" spans="4:4" x14ac:dyDescent="0.45">
      <c r="D3174" t="s">
        <v>1176</v>
      </c>
    </row>
    <row r="3175" spans="4:4" x14ac:dyDescent="0.45">
      <c r="D3175" t="s">
        <v>1177</v>
      </c>
    </row>
    <row r="3176" spans="4:4" x14ac:dyDescent="0.45">
      <c r="D3176" t="s">
        <v>1178</v>
      </c>
    </row>
    <row r="3177" spans="4:4" x14ac:dyDescent="0.45">
      <c r="D3177" t="s">
        <v>1179</v>
      </c>
    </row>
    <row r="3178" spans="4:4" x14ac:dyDescent="0.45">
      <c r="D3178" t="s">
        <v>1180</v>
      </c>
    </row>
    <row r="3179" spans="4:4" x14ac:dyDescent="0.45">
      <c r="D3179" t="s">
        <v>1181</v>
      </c>
    </row>
    <row r="3180" spans="4:4" x14ac:dyDescent="0.45">
      <c r="D3180" t="s">
        <v>1182</v>
      </c>
    </row>
    <row r="3181" spans="4:4" x14ac:dyDescent="0.45">
      <c r="D3181" t="s">
        <v>1183</v>
      </c>
    </row>
    <row r="3182" spans="4:4" x14ac:dyDescent="0.45">
      <c r="D3182" t="s">
        <v>1184</v>
      </c>
    </row>
    <row r="3183" spans="4:4" x14ac:dyDescent="0.45">
      <c r="D3183" t="s">
        <v>84</v>
      </c>
    </row>
    <row r="3184" spans="4:4" x14ac:dyDescent="0.45">
      <c r="D3184" t="s">
        <v>85</v>
      </c>
    </row>
    <row r="3185" spans="4:4" x14ac:dyDescent="0.45">
      <c r="D3185" t="s">
        <v>1185</v>
      </c>
    </row>
    <row r="3186" spans="4:4" x14ac:dyDescent="0.45">
      <c r="D3186" t="s">
        <v>87</v>
      </c>
    </row>
    <row r="3187" spans="4:4" x14ac:dyDescent="0.45">
      <c r="D3187" t="s">
        <v>88</v>
      </c>
    </row>
    <row r="3188" spans="4:4" x14ac:dyDescent="0.45">
      <c r="D3188" t="s">
        <v>66</v>
      </c>
    </row>
    <row r="3189" spans="4:4" x14ac:dyDescent="0.45">
      <c r="D3189" t="s">
        <v>1186</v>
      </c>
    </row>
    <row r="3190" spans="4:4" x14ac:dyDescent="0.45">
      <c r="D3190" t="s">
        <v>1187</v>
      </c>
    </row>
    <row r="3191" spans="4:4" x14ac:dyDescent="0.45">
      <c r="D3191" t="s">
        <v>69</v>
      </c>
    </row>
    <row r="3192" spans="4:4" x14ac:dyDescent="0.45">
      <c r="D3192" t="s">
        <v>91</v>
      </c>
    </row>
    <row r="3193" spans="4:4" x14ac:dyDescent="0.45">
      <c r="D3193" t="s">
        <v>92</v>
      </c>
    </row>
    <row r="3194" spans="4:4" x14ac:dyDescent="0.45">
      <c r="D3194" t="s">
        <v>1188</v>
      </c>
    </row>
    <row r="3195" spans="4:4" x14ac:dyDescent="0.45">
      <c r="D3195" t="s">
        <v>76</v>
      </c>
    </row>
    <row r="3196" spans="4:4" x14ac:dyDescent="0.45">
      <c r="D3196" t="s">
        <v>77</v>
      </c>
    </row>
    <row r="3197" spans="4:4" x14ac:dyDescent="0.45">
      <c r="D3197" t="s">
        <v>94</v>
      </c>
    </row>
    <row r="3198" spans="4:4" x14ac:dyDescent="0.45">
      <c r="D3198" t="s">
        <v>1189</v>
      </c>
    </row>
    <row r="3199" spans="4:4" x14ac:dyDescent="0.45">
      <c r="D3199" t="s">
        <v>1190</v>
      </c>
    </row>
    <row r="3200" spans="4:4" x14ac:dyDescent="0.45">
      <c r="D3200" t="s">
        <v>1191</v>
      </c>
    </row>
    <row r="3201" spans="4:4" x14ac:dyDescent="0.45">
      <c r="D3201" t="s">
        <v>1192</v>
      </c>
    </row>
    <row r="3202" spans="4:4" x14ac:dyDescent="0.45">
      <c r="D3202" t="s">
        <v>1193</v>
      </c>
    </row>
    <row r="3203" spans="4:4" x14ac:dyDescent="0.45">
      <c r="D3203" t="s">
        <v>1194</v>
      </c>
    </row>
    <row r="3204" spans="4:4" x14ac:dyDescent="0.45">
      <c r="D3204" t="s">
        <v>84</v>
      </c>
    </row>
    <row r="3205" spans="4:4" x14ac:dyDescent="0.45">
      <c r="D3205" t="s">
        <v>85</v>
      </c>
    </row>
    <row r="3206" spans="4:4" x14ac:dyDescent="0.45">
      <c r="D3206" t="s">
        <v>1195</v>
      </c>
    </row>
    <row r="3207" spans="4:4" x14ac:dyDescent="0.45">
      <c r="D3207" t="s">
        <v>101</v>
      </c>
    </row>
    <row r="3208" spans="4:4" x14ac:dyDescent="0.45">
      <c r="D3208" t="s">
        <v>1196</v>
      </c>
    </row>
    <row r="3209" spans="4:4" x14ac:dyDescent="0.45">
      <c r="D3209" t="s">
        <v>1197</v>
      </c>
    </row>
    <row r="3210" spans="4:4" x14ac:dyDescent="0.45">
      <c r="D3210" t="s">
        <v>1198</v>
      </c>
    </row>
    <row r="3211" spans="4:4" x14ac:dyDescent="0.45">
      <c r="D3211" t="s">
        <v>1199</v>
      </c>
    </row>
    <row r="3212" spans="4:4" x14ac:dyDescent="0.45">
      <c r="D3212" t="s">
        <v>1200</v>
      </c>
    </row>
    <row r="3213" spans="4:4" x14ac:dyDescent="0.45">
      <c r="D3213" t="s">
        <v>88</v>
      </c>
    </row>
    <row r="3214" spans="4:4" x14ac:dyDescent="0.45">
      <c r="D3214" t="s">
        <v>66</v>
      </c>
    </row>
    <row r="3215" spans="4:4" x14ac:dyDescent="0.45">
      <c r="D3215" t="s">
        <v>1171</v>
      </c>
    </row>
    <row r="3216" spans="4:4" x14ac:dyDescent="0.45">
      <c r="D3216" t="s">
        <v>1201</v>
      </c>
    </row>
    <row r="3217" spans="4:4" x14ac:dyDescent="0.45">
      <c r="D3217" t="s">
        <v>69</v>
      </c>
    </row>
    <row r="3218" spans="4:4" x14ac:dyDescent="0.45">
      <c r="D3218" t="s">
        <v>91</v>
      </c>
    </row>
    <row r="3219" spans="4:4" x14ac:dyDescent="0.45">
      <c r="D3219" t="s">
        <v>92</v>
      </c>
    </row>
    <row r="3220" spans="4:4" x14ac:dyDescent="0.45">
      <c r="D3220" t="s">
        <v>1202</v>
      </c>
    </row>
    <row r="3221" spans="4:4" x14ac:dyDescent="0.45">
      <c r="D3221" t="s">
        <v>76</v>
      </c>
    </row>
    <row r="3222" spans="4:4" x14ac:dyDescent="0.45">
      <c r="D3222" t="s">
        <v>77</v>
      </c>
    </row>
    <row r="3223" spans="4:4" x14ac:dyDescent="0.45">
      <c r="D3223" t="s">
        <v>94</v>
      </c>
    </row>
    <row r="3224" spans="4:4" x14ac:dyDescent="0.45">
      <c r="D3224" t="s">
        <v>1203</v>
      </c>
    </row>
    <row r="3225" spans="4:4" x14ac:dyDescent="0.45">
      <c r="D3225" t="s">
        <v>1204</v>
      </c>
    </row>
    <row r="3226" spans="4:4" x14ac:dyDescent="0.45">
      <c r="D3226" t="s">
        <v>1205</v>
      </c>
    </row>
    <row r="3227" spans="4:4" x14ac:dyDescent="0.45">
      <c r="D3227" t="s">
        <v>1206</v>
      </c>
    </row>
    <row r="3228" spans="4:4" x14ac:dyDescent="0.45">
      <c r="D3228" t="s">
        <v>108</v>
      </c>
    </row>
    <row r="3229" spans="4:4" x14ac:dyDescent="0.45">
      <c r="D3229" t="s">
        <v>84</v>
      </c>
    </row>
    <row r="3230" spans="4:4" x14ac:dyDescent="0.45">
      <c r="D3230" t="s">
        <v>85</v>
      </c>
    </row>
    <row r="3231" spans="4:4" x14ac:dyDescent="0.45">
      <c r="D3231" t="s">
        <v>1207</v>
      </c>
    </row>
    <row r="3232" spans="4:4" x14ac:dyDescent="0.45">
      <c r="D3232" t="s">
        <v>101</v>
      </c>
    </row>
    <row r="3233" spans="4:4" x14ac:dyDescent="0.45">
      <c r="D3233" t="s">
        <v>88</v>
      </c>
    </row>
    <row r="3234" spans="4:4" x14ac:dyDescent="0.45">
      <c r="D3234" t="s">
        <v>66</v>
      </c>
    </row>
    <row r="3235" spans="4:4" x14ac:dyDescent="0.45">
      <c r="D3235" t="s">
        <v>1155</v>
      </c>
    </row>
    <row r="3236" spans="4:4" x14ac:dyDescent="0.45">
      <c r="D3236" t="s">
        <v>1156</v>
      </c>
    </row>
    <row r="3237" spans="4:4" x14ac:dyDescent="0.45">
      <c r="D3237" t="s">
        <v>69</v>
      </c>
    </row>
    <row r="3238" spans="4:4" x14ac:dyDescent="0.45">
      <c r="D3238" t="s">
        <v>91</v>
      </c>
    </row>
    <row r="3239" spans="4:4" x14ac:dyDescent="0.45">
      <c r="D3239" t="s">
        <v>92</v>
      </c>
    </row>
    <row r="3240" spans="4:4" x14ac:dyDescent="0.45">
      <c r="D3240" t="s">
        <v>1208</v>
      </c>
    </row>
    <row r="3241" spans="4:4" x14ac:dyDescent="0.45">
      <c r="D3241" t="s">
        <v>76</v>
      </c>
    </row>
    <row r="3242" spans="4:4" x14ac:dyDescent="0.45">
      <c r="D3242" t="s">
        <v>77</v>
      </c>
    </row>
    <row r="3243" spans="4:4" x14ac:dyDescent="0.45">
      <c r="D3243" t="s">
        <v>94</v>
      </c>
    </row>
    <row r="3244" spans="4:4" x14ac:dyDescent="0.45">
      <c r="D3244" t="s">
        <v>1209</v>
      </c>
    </row>
    <row r="3245" spans="4:4" x14ac:dyDescent="0.45">
      <c r="D3245" t="s">
        <v>1210</v>
      </c>
    </row>
    <row r="3246" spans="4:4" x14ac:dyDescent="0.45">
      <c r="D3246" t="s">
        <v>1211</v>
      </c>
    </row>
    <row r="3247" spans="4:4" x14ac:dyDescent="0.45">
      <c r="D3247" t="s">
        <v>1212</v>
      </c>
    </row>
    <row r="3248" spans="4:4" x14ac:dyDescent="0.45">
      <c r="D3248" t="s">
        <v>1213</v>
      </c>
    </row>
    <row r="3249" spans="4:4" x14ac:dyDescent="0.45">
      <c r="D3249" t="s">
        <v>84</v>
      </c>
    </row>
    <row r="3250" spans="4:4" x14ac:dyDescent="0.45">
      <c r="D3250" t="s">
        <v>85</v>
      </c>
    </row>
    <row r="3251" spans="4:4" x14ac:dyDescent="0.45">
      <c r="D3251" t="s">
        <v>109</v>
      </c>
    </row>
    <row r="3252" spans="4:4" x14ac:dyDescent="0.45">
      <c r="D3252" t="s">
        <v>101</v>
      </c>
    </row>
    <row r="3253" spans="4:4" x14ac:dyDescent="0.45">
      <c r="D3253" t="s">
        <v>88</v>
      </c>
    </row>
    <row r="3254" spans="4:4" x14ac:dyDescent="0.45">
      <c r="D3254" t="s">
        <v>66</v>
      </c>
    </row>
    <row r="3255" spans="4:4" x14ac:dyDescent="0.45">
      <c r="D3255" t="s">
        <v>1214</v>
      </c>
    </row>
    <row r="3256" spans="4:4" x14ac:dyDescent="0.45">
      <c r="D3256" t="s">
        <v>1215</v>
      </c>
    </row>
    <row r="3257" spans="4:4" x14ac:dyDescent="0.45">
      <c r="D3257" t="s">
        <v>1216</v>
      </c>
    </row>
    <row r="3258" spans="4:4" x14ac:dyDescent="0.45">
      <c r="D3258" t="s">
        <v>1217</v>
      </c>
    </row>
    <row r="3259" spans="4:4" x14ac:dyDescent="0.45">
      <c r="D3259" t="s">
        <v>69</v>
      </c>
    </row>
    <row r="3260" spans="4:4" x14ac:dyDescent="0.45">
      <c r="D3260" t="s">
        <v>1218</v>
      </c>
    </row>
    <row r="3261" spans="4:4" x14ac:dyDescent="0.45">
      <c r="D3261" t="s">
        <v>1219</v>
      </c>
    </row>
    <row r="3262" spans="4:4" x14ac:dyDescent="0.45">
      <c r="D3262" t="s">
        <v>1220</v>
      </c>
    </row>
    <row r="3263" spans="4:4" x14ac:dyDescent="0.45">
      <c r="D3263" t="s">
        <v>1221</v>
      </c>
    </row>
    <row r="3264" spans="4:4" x14ac:dyDescent="0.45">
      <c r="D3264" t="s">
        <v>1222</v>
      </c>
    </row>
    <row r="3265" spans="4:4" x14ac:dyDescent="0.45">
      <c r="D3265" t="s">
        <v>1223</v>
      </c>
    </row>
    <row r="3266" spans="4:4" x14ac:dyDescent="0.45">
      <c r="D3266" t="s">
        <v>1224</v>
      </c>
    </row>
    <row r="3267" spans="4:4" x14ac:dyDescent="0.45">
      <c r="D3267" t="s">
        <v>84</v>
      </c>
    </row>
    <row r="3268" spans="4:4" x14ac:dyDescent="0.45">
      <c r="D3268" t="s">
        <v>85</v>
      </c>
    </row>
    <row r="3269" spans="4:4" x14ac:dyDescent="0.45">
      <c r="D3269" t="s">
        <v>1225</v>
      </c>
    </row>
    <row r="3270" spans="4:4" x14ac:dyDescent="0.45">
      <c r="D3270" t="s">
        <v>87</v>
      </c>
    </row>
    <row r="3271" spans="4:4" x14ac:dyDescent="0.45">
      <c r="D3271" t="s">
        <v>88</v>
      </c>
    </row>
    <row r="3272" spans="4:4" x14ac:dyDescent="0.45">
      <c r="D3272" t="s">
        <v>66</v>
      </c>
    </row>
    <row r="3273" spans="4:4" x14ac:dyDescent="0.45">
      <c r="D3273" t="s">
        <v>1226</v>
      </c>
    </row>
    <row r="3274" spans="4:4" x14ac:dyDescent="0.45">
      <c r="D3274" t="s">
        <v>1227</v>
      </c>
    </row>
    <row r="3275" spans="4:4" x14ac:dyDescent="0.45">
      <c r="D3275" t="s">
        <v>1228</v>
      </c>
    </row>
    <row r="3276" spans="4:4" x14ac:dyDescent="0.45">
      <c r="D3276" t="s">
        <v>1229</v>
      </c>
    </row>
    <row r="3277" spans="4:4" x14ac:dyDescent="0.45">
      <c r="D3277" t="s">
        <v>69</v>
      </c>
    </row>
    <row r="3278" spans="4:4" x14ac:dyDescent="0.45">
      <c r="D3278" t="s">
        <v>1230</v>
      </c>
    </row>
    <row r="3279" spans="4:4" x14ac:dyDescent="0.45">
      <c r="D3279" t="s">
        <v>1219</v>
      </c>
    </row>
    <row r="3280" spans="4:4" x14ac:dyDescent="0.45">
      <c r="D3280" t="s">
        <v>1231</v>
      </c>
    </row>
    <row r="3281" spans="4:4" x14ac:dyDescent="0.45">
      <c r="D3281" t="s">
        <v>1232</v>
      </c>
    </row>
    <row r="3282" spans="4:4" x14ac:dyDescent="0.45">
      <c r="D3282" t="s">
        <v>1233</v>
      </c>
    </row>
    <row r="3283" spans="4:4" x14ac:dyDescent="0.45">
      <c r="D3283" t="s">
        <v>1223</v>
      </c>
    </row>
    <row r="3284" spans="4:4" x14ac:dyDescent="0.45">
      <c r="D3284" t="s">
        <v>179</v>
      </c>
    </row>
    <row r="3285" spans="4:4" x14ac:dyDescent="0.45">
      <c r="D3285" t="s">
        <v>84</v>
      </c>
    </row>
    <row r="3286" spans="4:4" x14ac:dyDescent="0.45">
      <c r="D3286" t="s">
        <v>85</v>
      </c>
    </row>
    <row r="3287" spans="4:4" x14ac:dyDescent="0.45">
      <c r="D3287" t="s">
        <v>1234</v>
      </c>
    </row>
    <row r="3288" spans="4:4" x14ac:dyDescent="0.45">
      <c r="D3288" t="s">
        <v>87</v>
      </c>
    </row>
    <row r="3289" spans="4:4" x14ac:dyDescent="0.45">
      <c r="D3289" t="s">
        <v>88</v>
      </c>
    </row>
    <row r="3290" spans="4:4" x14ac:dyDescent="0.45">
      <c r="D3290" t="s">
        <v>66</v>
      </c>
    </row>
    <row r="3291" spans="4:4" x14ac:dyDescent="0.45">
      <c r="D3291" t="s">
        <v>1235</v>
      </c>
    </row>
    <row r="3292" spans="4:4" x14ac:dyDescent="0.45">
      <c r="D3292" t="s">
        <v>1236</v>
      </c>
    </row>
    <row r="3293" spans="4:4" x14ac:dyDescent="0.45">
      <c r="D3293" t="s">
        <v>1237</v>
      </c>
    </row>
    <row r="3294" spans="4:4" x14ac:dyDescent="0.45">
      <c r="D3294" t="s">
        <v>1238</v>
      </c>
    </row>
    <row r="3295" spans="4:4" x14ac:dyDescent="0.45">
      <c r="D3295" t="s">
        <v>69</v>
      </c>
    </row>
    <row r="3296" spans="4:4" x14ac:dyDescent="0.45">
      <c r="D3296" t="s">
        <v>1239</v>
      </c>
    </row>
    <row r="3297" spans="4:4" x14ac:dyDescent="0.45">
      <c r="D3297" t="s">
        <v>1219</v>
      </c>
    </row>
    <row r="3298" spans="4:4" x14ac:dyDescent="0.45">
      <c r="D3298" t="s">
        <v>1240</v>
      </c>
    </row>
    <row r="3299" spans="4:4" x14ac:dyDescent="0.45">
      <c r="D3299" t="s">
        <v>1241</v>
      </c>
    </row>
    <row r="3300" spans="4:4" x14ac:dyDescent="0.45">
      <c r="D3300" t="s">
        <v>1242</v>
      </c>
    </row>
    <row r="3301" spans="4:4" x14ac:dyDescent="0.45">
      <c r="D3301" t="s">
        <v>1223</v>
      </c>
    </row>
    <row r="3302" spans="4:4" x14ac:dyDescent="0.45">
      <c r="D3302" t="s">
        <v>179</v>
      </c>
    </row>
    <row r="3303" spans="4:4" x14ac:dyDescent="0.45">
      <c r="D3303" t="s">
        <v>84</v>
      </c>
    </row>
    <row r="3304" spans="4:4" x14ac:dyDescent="0.45">
      <c r="D3304" t="s">
        <v>85</v>
      </c>
    </row>
    <row r="3305" spans="4:4" x14ac:dyDescent="0.45">
      <c r="D3305" t="s">
        <v>1243</v>
      </c>
    </row>
    <row r="3306" spans="4:4" x14ac:dyDescent="0.45">
      <c r="D3306" t="s">
        <v>87</v>
      </c>
    </row>
    <row r="3307" spans="4:4" x14ac:dyDescent="0.45">
      <c r="D3307" t="s">
        <v>88</v>
      </c>
    </row>
    <row r="3308" spans="4:4" x14ac:dyDescent="0.45">
      <c r="D3308" t="s">
        <v>66</v>
      </c>
    </row>
    <row r="3309" spans="4:4" x14ac:dyDescent="0.45">
      <c r="D3309" t="s">
        <v>1244</v>
      </c>
    </row>
    <row r="3310" spans="4:4" x14ac:dyDescent="0.45">
      <c r="D3310" t="s">
        <v>1245</v>
      </c>
    </row>
    <row r="3311" spans="4:4" x14ac:dyDescent="0.45">
      <c r="D3311" t="s">
        <v>1246</v>
      </c>
    </row>
    <row r="3312" spans="4:4" x14ac:dyDescent="0.45">
      <c r="D3312" t="s">
        <v>1247</v>
      </c>
    </row>
    <row r="3313" spans="4:4" x14ac:dyDescent="0.45">
      <c r="D3313" t="s">
        <v>69</v>
      </c>
    </row>
    <row r="3314" spans="4:4" x14ac:dyDescent="0.45">
      <c r="D3314" t="s">
        <v>1248</v>
      </c>
    </row>
    <row r="3315" spans="4:4" x14ac:dyDescent="0.45">
      <c r="D3315" t="s">
        <v>1219</v>
      </c>
    </row>
    <row r="3316" spans="4:4" x14ac:dyDescent="0.45">
      <c r="D3316" t="s">
        <v>1249</v>
      </c>
    </row>
    <row r="3317" spans="4:4" x14ac:dyDescent="0.45">
      <c r="D3317" t="s">
        <v>1250</v>
      </c>
    </row>
    <row r="3318" spans="4:4" x14ac:dyDescent="0.45">
      <c r="D3318" t="s">
        <v>1251</v>
      </c>
    </row>
    <row r="3319" spans="4:4" x14ac:dyDescent="0.45">
      <c r="D3319" t="s">
        <v>1223</v>
      </c>
    </row>
    <row r="3320" spans="4:4" x14ac:dyDescent="0.45">
      <c r="D3320" t="s">
        <v>187</v>
      </c>
    </row>
    <row r="3321" spans="4:4" x14ac:dyDescent="0.45">
      <c r="D3321" t="s">
        <v>84</v>
      </c>
    </row>
    <row r="3322" spans="4:4" x14ac:dyDescent="0.45">
      <c r="D3322" t="s">
        <v>85</v>
      </c>
    </row>
    <row r="3323" spans="4:4" x14ac:dyDescent="0.45">
      <c r="D3323" t="s">
        <v>1252</v>
      </c>
    </row>
    <row r="3324" spans="4:4" x14ac:dyDescent="0.45">
      <c r="D3324" t="s">
        <v>87</v>
      </c>
    </row>
    <row r="3325" spans="4:4" x14ac:dyDescent="0.45">
      <c r="D3325" t="s">
        <v>88</v>
      </c>
    </row>
    <row r="3326" spans="4:4" x14ac:dyDescent="0.45">
      <c r="D3326" t="s">
        <v>66</v>
      </c>
    </row>
    <row r="3327" spans="4:4" x14ac:dyDescent="0.45">
      <c r="D3327" t="s">
        <v>1253</v>
      </c>
    </row>
    <row r="3328" spans="4:4" x14ac:dyDescent="0.45">
      <c r="D3328" t="s">
        <v>1254</v>
      </c>
    </row>
    <row r="3329" spans="4:4" x14ac:dyDescent="0.45">
      <c r="D3329" t="s">
        <v>1255</v>
      </c>
    </row>
    <row r="3330" spans="4:4" x14ac:dyDescent="0.45">
      <c r="D3330" t="s">
        <v>1256</v>
      </c>
    </row>
    <row r="3331" spans="4:4" x14ac:dyDescent="0.45">
      <c r="D3331" t="s">
        <v>69</v>
      </c>
    </row>
    <row r="3332" spans="4:4" x14ac:dyDescent="0.45">
      <c r="D3332" t="s">
        <v>1257</v>
      </c>
    </row>
    <row r="3333" spans="4:4" x14ac:dyDescent="0.45">
      <c r="D3333" t="s">
        <v>1219</v>
      </c>
    </row>
    <row r="3334" spans="4:4" x14ac:dyDescent="0.45">
      <c r="D3334" t="s">
        <v>1258</v>
      </c>
    </row>
    <row r="3335" spans="4:4" x14ac:dyDescent="0.45">
      <c r="D3335" t="s">
        <v>1259</v>
      </c>
    </row>
    <row r="3336" spans="4:4" x14ac:dyDescent="0.45">
      <c r="D3336" t="s">
        <v>1260</v>
      </c>
    </row>
    <row r="3337" spans="4:4" x14ac:dyDescent="0.45">
      <c r="D3337" t="s">
        <v>566</v>
      </c>
    </row>
    <row r="3338" spans="4:4" x14ac:dyDescent="0.45">
      <c r="D3338" t="s">
        <v>1223</v>
      </c>
    </row>
    <row r="3339" spans="4:4" x14ac:dyDescent="0.45">
      <c r="D3339" t="s">
        <v>179</v>
      </c>
    </row>
    <row r="3340" spans="4:4" x14ac:dyDescent="0.45">
      <c r="D3340" t="s">
        <v>84</v>
      </c>
    </row>
    <row r="3341" spans="4:4" x14ac:dyDescent="0.45">
      <c r="D3341" t="s">
        <v>85</v>
      </c>
    </row>
    <row r="3342" spans="4:4" x14ac:dyDescent="0.45">
      <c r="D3342" t="s">
        <v>1261</v>
      </c>
    </row>
    <row r="3343" spans="4:4" x14ac:dyDescent="0.45">
      <c r="D3343" t="s">
        <v>87</v>
      </c>
    </row>
    <row r="3344" spans="4:4" x14ac:dyDescent="0.45">
      <c r="D3344" t="s">
        <v>88</v>
      </c>
    </row>
    <row r="3345" spans="4:4" x14ac:dyDescent="0.45">
      <c r="D3345" t="s">
        <v>66</v>
      </c>
    </row>
    <row r="3346" spans="4:4" x14ac:dyDescent="0.45">
      <c r="D3346" t="s">
        <v>1262</v>
      </c>
    </row>
    <row r="3347" spans="4:4" x14ac:dyDescent="0.45">
      <c r="D3347" t="s">
        <v>1263</v>
      </c>
    </row>
    <row r="3348" spans="4:4" x14ac:dyDescent="0.45">
      <c r="D3348" t="s">
        <v>1264</v>
      </c>
    </row>
    <row r="3349" spans="4:4" x14ac:dyDescent="0.45">
      <c r="D3349" t="s">
        <v>1265</v>
      </c>
    </row>
    <row r="3350" spans="4:4" x14ac:dyDescent="0.45">
      <c r="D3350" t="s">
        <v>69</v>
      </c>
    </row>
    <row r="3351" spans="4:4" x14ac:dyDescent="0.45">
      <c r="D3351" t="s">
        <v>1266</v>
      </c>
    </row>
    <row r="3352" spans="4:4" x14ac:dyDescent="0.45">
      <c r="D3352" t="s">
        <v>1219</v>
      </c>
    </row>
    <row r="3353" spans="4:4" x14ac:dyDescent="0.45">
      <c r="D3353" t="s">
        <v>1267</v>
      </c>
    </row>
    <row r="3354" spans="4:4" x14ac:dyDescent="0.45">
      <c r="D3354" t="s">
        <v>1268</v>
      </c>
    </row>
    <row r="3355" spans="4:4" x14ac:dyDescent="0.45">
      <c r="D3355" t="s">
        <v>1269</v>
      </c>
    </row>
    <row r="3356" spans="4:4" x14ac:dyDescent="0.45">
      <c r="D3356" t="s">
        <v>1270</v>
      </c>
    </row>
    <row r="3357" spans="4:4" x14ac:dyDescent="0.45">
      <c r="D3357" t="s">
        <v>1223</v>
      </c>
    </row>
    <row r="3358" spans="4:4" x14ac:dyDescent="0.45">
      <c r="D3358" t="s">
        <v>179</v>
      </c>
    </row>
    <row r="3359" spans="4:4" x14ac:dyDescent="0.45">
      <c r="D3359" t="s">
        <v>84</v>
      </c>
    </row>
    <row r="3360" spans="4:4" x14ac:dyDescent="0.45">
      <c r="D3360" t="s">
        <v>85</v>
      </c>
    </row>
    <row r="3361" spans="4:4" x14ac:dyDescent="0.45">
      <c r="D3361" t="s">
        <v>1271</v>
      </c>
    </row>
    <row r="3362" spans="4:4" x14ac:dyDescent="0.45">
      <c r="D3362" t="s">
        <v>87</v>
      </c>
    </row>
    <row r="3363" spans="4:4" x14ac:dyDescent="0.45">
      <c r="D3363" t="s">
        <v>88</v>
      </c>
    </row>
    <row r="3364" spans="4:4" x14ac:dyDescent="0.45">
      <c r="D3364" t="s">
        <v>66</v>
      </c>
    </row>
    <row r="3365" spans="4:4" x14ac:dyDescent="0.45">
      <c r="D3365" t="s">
        <v>1226</v>
      </c>
    </row>
    <row r="3366" spans="4:4" x14ac:dyDescent="0.45">
      <c r="D3366" t="s">
        <v>1227</v>
      </c>
    </row>
    <row r="3367" spans="4:4" x14ac:dyDescent="0.45">
      <c r="D3367" t="s">
        <v>1228</v>
      </c>
    </row>
    <row r="3368" spans="4:4" x14ac:dyDescent="0.45">
      <c r="D3368" t="s">
        <v>1272</v>
      </c>
    </row>
    <row r="3369" spans="4:4" x14ac:dyDescent="0.45">
      <c r="D3369" t="s">
        <v>69</v>
      </c>
    </row>
    <row r="3370" spans="4:4" x14ac:dyDescent="0.45">
      <c r="D3370" t="s">
        <v>1273</v>
      </c>
    </row>
    <row r="3371" spans="4:4" x14ac:dyDescent="0.45">
      <c r="D3371" t="s">
        <v>1219</v>
      </c>
    </row>
    <row r="3372" spans="4:4" x14ac:dyDescent="0.45">
      <c r="D3372" t="s">
        <v>699</v>
      </c>
    </row>
    <row r="3373" spans="4:4" x14ac:dyDescent="0.45">
      <c r="D3373" t="s">
        <v>1274</v>
      </c>
    </row>
    <row r="3374" spans="4:4" x14ac:dyDescent="0.45">
      <c r="D3374" t="s">
        <v>1275</v>
      </c>
    </row>
    <row r="3375" spans="4:4" x14ac:dyDescent="0.45">
      <c r="D3375" t="s">
        <v>1223</v>
      </c>
    </row>
    <row r="3376" spans="4:4" x14ac:dyDescent="0.45">
      <c r="D3376" t="s">
        <v>179</v>
      </c>
    </row>
    <row r="3377" spans="4:4" x14ac:dyDescent="0.45">
      <c r="D3377" t="s">
        <v>84</v>
      </c>
    </row>
    <row r="3378" spans="4:4" x14ac:dyDescent="0.45">
      <c r="D3378" t="s">
        <v>85</v>
      </c>
    </row>
    <row r="3379" spans="4:4" x14ac:dyDescent="0.45">
      <c r="D3379" t="s">
        <v>1276</v>
      </c>
    </row>
    <row r="3380" spans="4:4" x14ac:dyDescent="0.45">
      <c r="D3380" t="s">
        <v>87</v>
      </c>
    </row>
    <row r="3381" spans="4:4" x14ac:dyDescent="0.45">
      <c r="D3381" t="s">
        <v>88</v>
      </c>
    </row>
    <row r="3382" spans="4:4" x14ac:dyDescent="0.45">
      <c r="D3382" t="s">
        <v>66</v>
      </c>
    </row>
    <row r="3383" spans="4:4" x14ac:dyDescent="0.45">
      <c r="D3383" t="s">
        <v>1244</v>
      </c>
    </row>
    <row r="3384" spans="4:4" x14ac:dyDescent="0.45">
      <c r="D3384" t="s">
        <v>1245</v>
      </c>
    </row>
    <row r="3385" spans="4:4" x14ac:dyDescent="0.45">
      <c r="D3385" t="s">
        <v>1246</v>
      </c>
    </row>
    <row r="3386" spans="4:4" x14ac:dyDescent="0.45">
      <c r="D3386" t="s">
        <v>1277</v>
      </c>
    </row>
    <row r="3387" spans="4:4" x14ac:dyDescent="0.45">
      <c r="D3387" t="s">
        <v>69</v>
      </c>
    </row>
    <row r="3388" spans="4:4" x14ac:dyDescent="0.45">
      <c r="D3388" t="s">
        <v>1278</v>
      </c>
    </row>
    <row r="3389" spans="4:4" x14ac:dyDescent="0.45">
      <c r="D3389" t="s">
        <v>1219</v>
      </c>
    </row>
    <row r="3390" spans="4:4" x14ac:dyDescent="0.45">
      <c r="D3390" t="s">
        <v>1279</v>
      </c>
    </row>
    <row r="3391" spans="4:4" x14ac:dyDescent="0.45">
      <c r="D3391" t="s">
        <v>1280</v>
      </c>
    </row>
    <row r="3392" spans="4:4" x14ac:dyDescent="0.45">
      <c r="D3392" t="s">
        <v>1281</v>
      </c>
    </row>
    <row r="3393" spans="4:4" x14ac:dyDescent="0.45">
      <c r="D3393" t="s">
        <v>1223</v>
      </c>
    </row>
    <row r="3394" spans="4:4" x14ac:dyDescent="0.45">
      <c r="D3394" t="s">
        <v>179</v>
      </c>
    </row>
    <row r="3395" spans="4:4" x14ac:dyDescent="0.45">
      <c r="D3395" t="s">
        <v>84</v>
      </c>
    </row>
    <row r="3396" spans="4:4" x14ac:dyDescent="0.45">
      <c r="D3396" t="s">
        <v>85</v>
      </c>
    </row>
    <row r="3397" spans="4:4" x14ac:dyDescent="0.45">
      <c r="D3397" t="s">
        <v>1282</v>
      </c>
    </row>
    <row r="3398" spans="4:4" x14ac:dyDescent="0.45">
      <c r="D3398" t="s">
        <v>87</v>
      </c>
    </row>
    <row r="3399" spans="4:4" x14ac:dyDescent="0.45">
      <c r="D3399" t="s">
        <v>88</v>
      </c>
    </row>
    <row r="3400" spans="4:4" x14ac:dyDescent="0.45">
      <c r="D3400" t="s">
        <v>66</v>
      </c>
    </row>
    <row r="3401" spans="4:4" x14ac:dyDescent="0.45">
      <c r="D3401" t="s">
        <v>1244</v>
      </c>
    </row>
    <row r="3402" spans="4:4" x14ac:dyDescent="0.45">
      <c r="D3402" t="s">
        <v>1283</v>
      </c>
    </row>
    <row r="3403" spans="4:4" x14ac:dyDescent="0.45">
      <c r="D3403" t="s">
        <v>1246</v>
      </c>
    </row>
    <row r="3404" spans="4:4" x14ac:dyDescent="0.45">
      <c r="D3404" t="s">
        <v>1284</v>
      </c>
    </row>
    <row r="3405" spans="4:4" x14ac:dyDescent="0.45">
      <c r="D3405" t="s">
        <v>69</v>
      </c>
    </row>
    <row r="3406" spans="4:4" x14ac:dyDescent="0.45">
      <c r="D3406" t="s">
        <v>1285</v>
      </c>
    </row>
    <row r="3407" spans="4:4" x14ac:dyDescent="0.45">
      <c r="D3407" t="s">
        <v>1219</v>
      </c>
    </row>
    <row r="3408" spans="4:4" x14ac:dyDescent="0.45">
      <c r="D3408" t="s">
        <v>1286</v>
      </c>
    </row>
    <row r="3409" spans="4:4" x14ac:dyDescent="0.45">
      <c r="D3409" t="s">
        <v>1287</v>
      </c>
    </row>
    <row r="3410" spans="4:4" x14ac:dyDescent="0.45">
      <c r="D3410" t="s">
        <v>1288</v>
      </c>
    </row>
    <row r="3411" spans="4:4" x14ac:dyDescent="0.45">
      <c r="D3411" t="s">
        <v>1223</v>
      </c>
    </row>
    <row r="3412" spans="4:4" x14ac:dyDescent="0.45">
      <c r="D3412" t="s">
        <v>187</v>
      </c>
    </row>
    <row r="3413" spans="4:4" x14ac:dyDescent="0.45">
      <c r="D3413" t="s">
        <v>84</v>
      </c>
    </row>
    <row r="3414" spans="4:4" x14ac:dyDescent="0.45">
      <c r="D3414" t="s">
        <v>85</v>
      </c>
    </row>
    <row r="3415" spans="4:4" x14ac:dyDescent="0.45">
      <c r="D3415" t="s">
        <v>1289</v>
      </c>
    </row>
    <row r="3416" spans="4:4" x14ac:dyDescent="0.45">
      <c r="D3416" t="s">
        <v>87</v>
      </c>
    </row>
    <row r="3417" spans="4:4" x14ac:dyDescent="0.45">
      <c r="D3417" t="s">
        <v>88</v>
      </c>
    </row>
    <row r="3418" spans="4:4" x14ac:dyDescent="0.45">
      <c r="D3418" t="s">
        <v>66</v>
      </c>
    </row>
    <row r="3419" spans="4:4" x14ac:dyDescent="0.45">
      <c r="D3419" t="s">
        <v>1290</v>
      </c>
    </row>
    <row r="3420" spans="4:4" x14ac:dyDescent="0.45">
      <c r="D3420" t="s">
        <v>1215</v>
      </c>
    </row>
    <row r="3421" spans="4:4" x14ac:dyDescent="0.45">
      <c r="D3421" t="s">
        <v>1291</v>
      </c>
    </row>
    <row r="3422" spans="4:4" x14ac:dyDescent="0.45">
      <c r="D3422" t="s">
        <v>1292</v>
      </c>
    </row>
    <row r="3423" spans="4:4" x14ac:dyDescent="0.45">
      <c r="D3423" t="s">
        <v>69</v>
      </c>
    </row>
    <row r="3424" spans="4:4" x14ac:dyDescent="0.45">
      <c r="D3424" t="s">
        <v>1293</v>
      </c>
    </row>
    <row r="3425" spans="4:4" x14ac:dyDescent="0.45">
      <c r="D3425" t="s">
        <v>1219</v>
      </c>
    </row>
    <row r="3426" spans="4:4" x14ac:dyDescent="0.45">
      <c r="D3426" t="s">
        <v>1294</v>
      </c>
    </row>
    <row r="3427" spans="4:4" x14ac:dyDescent="0.45">
      <c r="D3427" t="s">
        <v>1295</v>
      </c>
    </row>
    <row r="3428" spans="4:4" x14ac:dyDescent="0.45">
      <c r="D3428" t="s">
        <v>1296</v>
      </c>
    </row>
    <row r="3429" spans="4:4" x14ac:dyDescent="0.45">
      <c r="D3429" t="s">
        <v>1223</v>
      </c>
    </row>
    <row r="3430" spans="4:4" x14ac:dyDescent="0.45">
      <c r="D3430" t="s">
        <v>1297</v>
      </c>
    </row>
    <row r="3431" spans="4:4" x14ac:dyDescent="0.45">
      <c r="D3431" t="s">
        <v>84</v>
      </c>
    </row>
    <row r="3432" spans="4:4" x14ac:dyDescent="0.45">
      <c r="D3432" t="s">
        <v>85</v>
      </c>
    </row>
    <row r="3433" spans="4:4" x14ac:dyDescent="0.45">
      <c r="D3433" t="s">
        <v>1298</v>
      </c>
    </row>
    <row r="3434" spans="4:4" x14ac:dyDescent="0.45">
      <c r="D3434" t="s">
        <v>87</v>
      </c>
    </row>
    <row r="3435" spans="4:4" x14ac:dyDescent="0.45">
      <c r="D3435" t="s">
        <v>88</v>
      </c>
    </row>
    <row r="3436" spans="4:4" x14ac:dyDescent="0.45">
      <c r="D3436" t="s">
        <v>66</v>
      </c>
    </row>
    <row r="3437" spans="4:4" x14ac:dyDescent="0.45">
      <c r="D3437" t="s">
        <v>1226</v>
      </c>
    </row>
    <row r="3438" spans="4:4" x14ac:dyDescent="0.45">
      <c r="D3438" t="s">
        <v>1227</v>
      </c>
    </row>
    <row r="3439" spans="4:4" x14ac:dyDescent="0.45">
      <c r="D3439" t="s">
        <v>1228</v>
      </c>
    </row>
    <row r="3440" spans="4:4" x14ac:dyDescent="0.45">
      <c r="D3440" t="s">
        <v>1299</v>
      </c>
    </row>
    <row r="3441" spans="4:4" x14ac:dyDescent="0.45">
      <c r="D3441" t="s">
        <v>69</v>
      </c>
    </row>
    <row r="3442" spans="4:4" x14ac:dyDescent="0.45">
      <c r="D3442" t="s">
        <v>1300</v>
      </c>
    </row>
    <row r="3443" spans="4:4" x14ac:dyDescent="0.45">
      <c r="D3443" t="s">
        <v>1219</v>
      </c>
    </row>
    <row r="3444" spans="4:4" x14ac:dyDescent="0.45">
      <c r="D3444" t="s">
        <v>1301</v>
      </c>
    </row>
    <row r="3445" spans="4:4" x14ac:dyDescent="0.45">
      <c r="D3445" t="s">
        <v>1302</v>
      </c>
    </row>
    <row r="3446" spans="4:4" x14ac:dyDescent="0.45">
      <c r="D3446" t="s">
        <v>1303</v>
      </c>
    </row>
    <row r="3447" spans="4:4" x14ac:dyDescent="0.45">
      <c r="D3447" t="s">
        <v>1223</v>
      </c>
    </row>
    <row r="3448" spans="4:4" x14ac:dyDescent="0.45">
      <c r="D3448" t="s">
        <v>187</v>
      </c>
    </row>
    <row r="3449" spans="4:4" x14ac:dyDescent="0.45">
      <c r="D3449" t="s">
        <v>84</v>
      </c>
    </row>
    <row r="3450" spans="4:4" x14ac:dyDescent="0.45">
      <c r="D3450" t="s">
        <v>85</v>
      </c>
    </row>
    <row r="3451" spans="4:4" x14ac:dyDescent="0.45">
      <c r="D3451" t="s">
        <v>1304</v>
      </c>
    </row>
    <row r="3452" spans="4:4" x14ac:dyDescent="0.45">
      <c r="D3452" t="s">
        <v>87</v>
      </c>
    </row>
    <row r="3453" spans="4:4" x14ac:dyDescent="0.45">
      <c r="D3453" t="s">
        <v>88</v>
      </c>
    </row>
    <row r="3454" spans="4:4" x14ac:dyDescent="0.45">
      <c r="D3454" t="s">
        <v>66</v>
      </c>
    </row>
    <row r="3455" spans="4:4" x14ac:dyDescent="0.45">
      <c r="D3455" t="s">
        <v>1244</v>
      </c>
    </row>
    <row r="3456" spans="4:4" x14ac:dyDescent="0.45">
      <c r="D3456" t="s">
        <v>1245</v>
      </c>
    </row>
    <row r="3457" spans="4:4" x14ac:dyDescent="0.45">
      <c r="D3457" t="s">
        <v>1246</v>
      </c>
    </row>
    <row r="3458" spans="4:4" x14ac:dyDescent="0.45">
      <c r="D3458" t="s">
        <v>1305</v>
      </c>
    </row>
    <row r="3459" spans="4:4" x14ac:dyDescent="0.45">
      <c r="D3459" t="s">
        <v>1306</v>
      </c>
    </row>
    <row r="3460" spans="4:4" x14ac:dyDescent="0.45">
      <c r="D3460" t="s">
        <v>69</v>
      </c>
    </row>
    <row r="3461" spans="4:4" x14ac:dyDescent="0.45">
      <c r="D3461" t="s">
        <v>1307</v>
      </c>
    </row>
    <row r="3462" spans="4:4" x14ac:dyDescent="0.45">
      <c r="D3462" t="s">
        <v>1219</v>
      </c>
    </row>
    <row r="3463" spans="4:4" x14ac:dyDescent="0.45">
      <c r="D3463" t="s">
        <v>1308</v>
      </c>
    </row>
    <row r="3464" spans="4:4" x14ac:dyDescent="0.45">
      <c r="D3464" t="s">
        <v>1309</v>
      </c>
    </row>
    <row r="3465" spans="4:4" x14ac:dyDescent="0.45">
      <c r="D3465" t="s">
        <v>1310</v>
      </c>
    </row>
    <row r="3466" spans="4:4" x14ac:dyDescent="0.45">
      <c r="D3466" t="s">
        <v>1311</v>
      </c>
    </row>
    <row r="3467" spans="4:4" x14ac:dyDescent="0.45">
      <c r="D3467" t="s">
        <v>1223</v>
      </c>
    </row>
    <row r="3468" spans="4:4" x14ac:dyDescent="0.45">
      <c r="D3468" t="s">
        <v>179</v>
      </c>
    </row>
    <row r="3469" spans="4:4" x14ac:dyDescent="0.45">
      <c r="D3469" t="s">
        <v>84</v>
      </c>
    </row>
    <row r="3470" spans="4:4" x14ac:dyDescent="0.45">
      <c r="D3470" t="s">
        <v>85</v>
      </c>
    </row>
    <row r="3471" spans="4:4" x14ac:dyDescent="0.45">
      <c r="D3471" t="s">
        <v>1312</v>
      </c>
    </row>
    <row r="3472" spans="4:4" x14ac:dyDescent="0.45">
      <c r="D3472" t="s">
        <v>87</v>
      </c>
    </row>
    <row r="3473" spans="4:4" x14ac:dyDescent="0.45">
      <c r="D3473" t="s">
        <v>88</v>
      </c>
    </row>
    <row r="3474" spans="4:4" x14ac:dyDescent="0.45">
      <c r="D3474" t="s">
        <v>66</v>
      </c>
    </row>
    <row r="3475" spans="4:4" x14ac:dyDescent="0.45">
      <c r="D3475" t="s">
        <v>1262</v>
      </c>
    </row>
    <row r="3476" spans="4:4" x14ac:dyDescent="0.45">
      <c r="D3476" t="s">
        <v>1313</v>
      </c>
    </row>
    <row r="3477" spans="4:4" x14ac:dyDescent="0.45">
      <c r="D3477" t="s">
        <v>1264</v>
      </c>
    </row>
    <row r="3478" spans="4:4" x14ac:dyDescent="0.45">
      <c r="D3478" t="s">
        <v>1314</v>
      </c>
    </row>
    <row r="3479" spans="4:4" x14ac:dyDescent="0.45">
      <c r="D3479" t="s">
        <v>69</v>
      </c>
    </row>
    <row r="3480" spans="4:4" x14ac:dyDescent="0.45">
      <c r="D3480" t="s">
        <v>1315</v>
      </c>
    </row>
    <row r="3481" spans="4:4" x14ac:dyDescent="0.45">
      <c r="D3481" t="s">
        <v>1219</v>
      </c>
    </row>
    <row r="3482" spans="4:4" x14ac:dyDescent="0.45">
      <c r="D3482" t="s">
        <v>1316</v>
      </c>
    </row>
    <row r="3483" spans="4:4" x14ac:dyDescent="0.45">
      <c r="D3483" t="s">
        <v>1317</v>
      </c>
    </row>
    <row r="3484" spans="4:4" x14ac:dyDescent="0.45">
      <c r="D3484" t="s">
        <v>1318</v>
      </c>
    </row>
    <row r="3485" spans="4:4" x14ac:dyDescent="0.45">
      <c r="D3485" t="s">
        <v>1223</v>
      </c>
    </row>
    <row r="3486" spans="4:4" x14ac:dyDescent="0.45">
      <c r="D3486" t="s">
        <v>179</v>
      </c>
    </row>
    <row r="3487" spans="4:4" x14ac:dyDescent="0.45">
      <c r="D3487" t="s">
        <v>84</v>
      </c>
    </row>
    <row r="3488" spans="4:4" x14ac:dyDescent="0.45">
      <c r="D3488" t="s">
        <v>85</v>
      </c>
    </row>
    <row r="3489" spans="4:4" x14ac:dyDescent="0.45">
      <c r="D3489" t="s">
        <v>1319</v>
      </c>
    </row>
    <row r="3490" spans="4:4" x14ac:dyDescent="0.45">
      <c r="D3490" t="s">
        <v>87</v>
      </c>
    </row>
    <row r="3491" spans="4:4" x14ac:dyDescent="0.45">
      <c r="D3491" t="s">
        <v>88</v>
      </c>
    </row>
    <row r="3492" spans="4:4" x14ac:dyDescent="0.45">
      <c r="D3492" t="s">
        <v>66</v>
      </c>
    </row>
    <row r="3493" spans="4:4" x14ac:dyDescent="0.45">
      <c r="D3493" t="s">
        <v>1320</v>
      </c>
    </row>
    <row r="3494" spans="4:4" x14ac:dyDescent="0.45">
      <c r="D3494" t="s">
        <v>1254</v>
      </c>
    </row>
    <row r="3495" spans="4:4" x14ac:dyDescent="0.45">
      <c r="D3495" t="s">
        <v>1321</v>
      </c>
    </row>
    <row r="3496" spans="4:4" x14ac:dyDescent="0.45">
      <c r="D3496" t="s">
        <v>1322</v>
      </c>
    </row>
    <row r="3497" spans="4:4" x14ac:dyDescent="0.45">
      <c r="D3497" t="s">
        <v>69</v>
      </c>
    </row>
    <row r="3498" spans="4:4" x14ac:dyDescent="0.45">
      <c r="D3498" t="s">
        <v>1323</v>
      </c>
    </row>
    <row r="3499" spans="4:4" x14ac:dyDescent="0.45">
      <c r="D3499" t="s">
        <v>1219</v>
      </c>
    </row>
    <row r="3500" spans="4:4" x14ac:dyDescent="0.45">
      <c r="D3500" t="s">
        <v>1324</v>
      </c>
    </row>
    <row r="3501" spans="4:4" x14ac:dyDescent="0.45">
      <c r="D3501" t="s">
        <v>1325</v>
      </c>
    </row>
    <row r="3502" spans="4:4" x14ac:dyDescent="0.45">
      <c r="D3502" t="s">
        <v>1326</v>
      </c>
    </row>
    <row r="3503" spans="4:4" x14ac:dyDescent="0.45">
      <c r="D3503" t="s">
        <v>1327</v>
      </c>
    </row>
    <row r="3504" spans="4:4" x14ac:dyDescent="0.45">
      <c r="D3504" t="s">
        <v>1223</v>
      </c>
    </row>
    <row r="3505" spans="4:4" x14ac:dyDescent="0.45">
      <c r="D3505" t="s">
        <v>179</v>
      </c>
    </row>
    <row r="3506" spans="4:4" x14ac:dyDescent="0.45">
      <c r="D3506" t="s">
        <v>84</v>
      </c>
    </row>
    <row r="3507" spans="4:4" x14ac:dyDescent="0.45">
      <c r="D3507" t="s">
        <v>85</v>
      </c>
    </row>
    <row r="3508" spans="4:4" x14ac:dyDescent="0.45">
      <c r="D3508" t="s">
        <v>1328</v>
      </c>
    </row>
    <row r="3509" spans="4:4" x14ac:dyDescent="0.45">
      <c r="D3509" t="s">
        <v>87</v>
      </c>
    </row>
    <row r="3510" spans="4:4" x14ac:dyDescent="0.45">
      <c r="D3510" t="s">
        <v>88</v>
      </c>
    </row>
    <row r="3511" spans="4:4" x14ac:dyDescent="0.45">
      <c r="D3511" t="s">
        <v>66</v>
      </c>
    </row>
    <row r="3512" spans="4:4" x14ac:dyDescent="0.45">
      <c r="D3512" t="s">
        <v>1329</v>
      </c>
    </row>
    <row r="3513" spans="4:4" x14ac:dyDescent="0.45">
      <c r="D3513" t="s">
        <v>1330</v>
      </c>
    </row>
    <row r="3514" spans="4:4" x14ac:dyDescent="0.45">
      <c r="D3514" t="s">
        <v>1331</v>
      </c>
    </row>
    <row r="3515" spans="4:4" x14ac:dyDescent="0.45">
      <c r="D3515" t="s">
        <v>69</v>
      </c>
    </row>
    <row r="3516" spans="4:4" x14ac:dyDescent="0.45">
      <c r="D3516" t="s">
        <v>1332</v>
      </c>
    </row>
    <row r="3517" spans="4:4" x14ac:dyDescent="0.45">
      <c r="D3517" t="s">
        <v>1333</v>
      </c>
    </row>
    <row r="3518" spans="4:4" x14ac:dyDescent="0.45">
      <c r="D3518" t="s">
        <v>133</v>
      </c>
    </row>
    <row r="3519" spans="4:4" x14ac:dyDescent="0.45">
      <c r="D3519" t="s">
        <v>1334</v>
      </c>
    </row>
    <row r="3520" spans="4:4" x14ac:dyDescent="0.45">
      <c r="D3520" t="s">
        <v>127</v>
      </c>
    </row>
    <row r="3521" spans="4:4" x14ac:dyDescent="0.45">
      <c r="D3521" t="s">
        <v>139</v>
      </c>
    </row>
    <row r="3522" spans="4:4" x14ac:dyDescent="0.45">
      <c r="D3522" t="s">
        <v>85</v>
      </c>
    </row>
    <row r="3523" spans="4:4" x14ac:dyDescent="0.45">
      <c r="D3523" t="s">
        <v>1335</v>
      </c>
    </row>
    <row r="3524" spans="4:4" x14ac:dyDescent="0.45">
      <c r="D3524" t="s">
        <v>87</v>
      </c>
    </row>
    <row r="3525" spans="4:4" x14ac:dyDescent="0.45">
      <c r="D3525" t="s">
        <v>88</v>
      </c>
    </row>
    <row r="3526" spans="4:4" x14ac:dyDescent="0.45">
      <c r="D3526" t="s">
        <v>66</v>
      </c>
    </row>
    <row r="3527" spans="4:4" x14ac:dyDescent="0.45">
      <c r="D3527" t="s">
        <v>1336</v>
      </c>
    </row>
    <row r="3528" spans="4:4" x14ac:dyDescent="0.45">
      <c r="D3528" t="s">
        <v>1337</v>
      </c>
    </row>
    <row r="3529" spans="4:4" x14ac:dyDescent="0.45">
      <c r="D3529" t="s">
        <v>69</v>
      </c>
    </row>
    <row r="3530" spans="4:4" x14ac:dyDescent="0.45">
      <c r="D3530" t="s">
        <v>1338</v>
      </c>
    </row>
    <row r="3531" spans="4:4" x14ac:dyDescent="0.45">
      <c r="D3531" t="s">
        <v>1339</v>
      </c>
    </row>
    <row r="3532" spans="4:4" x14ac:dyDescent="0.45">
      <c r="D3532" t="s">
        <v>133</v>
      </c>
    </row>
    <row r="3533" spans="4:4" x14ac:dyDescent="0.45">
      <c r="D3533" t="s">
        <v>1340</v>
      </c>
    </row>
    <row r="3534" spans="4:4" x14ac:dyDescent="0.45">
      <c r="D3534" t="s">
        <v>127</v>
      </c>
    </row>
    <row r="3535" spans="4:4" x14ac:dyDescent="0.45">
      <c r="D3535" t="s">
        <v>84</v>
      </c>
    </row>
    <row r="3536" spans="4:4" x14ac:dyDescent="0.45">
      <c r="D3536" t="s">
        <v>85</v>
      </c>
    </row>
    <row r="3537" spans="4:4" x14ac:dyDescent="0.45">
      <c r="D3537" t="s">
        <v>1045</v>
      </c>
    </row>
    <row r="3538" spans="4:4" x14ac:dyDescent="0.45">
      <c r="D3538" t="s">
        <v>87</v>
      </c>
    </row>
    <row r="3539" spans="4:4" x14ac:dyDescent="0.45">
      <c r="D3539" t="s">
        <v>1196</v>
      </c>
    </row>
    <row r="3540" spans="4:4" x14ac:dyDescent="0.45">
      <c r="D3540" t="s">
        <v>1197</v>
      </c>
    </row>
    <row r="3541" spans="4:4" x14ac:dyDescent="0.45">
      <c r="D3541" t="s">
        <v>1198</v>
      </c>
    </row>
    <row r="3542" spans="4:4" x14ac:dyDescent="0.45">
      <c r="D3542" t="s">
        <v>1341</v>
      </c>
    </row>
    <row r="3543" spans="4:4" x14ac:dyDescent="0.45">
      <c r="D3543" t="s">
        <v>1200</v>
      </c>
    </row>
    <row r="3544" spans="4:4" x14ac:dyDescent="0.45">
      <c r="D3544" t="s">
        <v>88</v>
      </c>
    </row>
    <row r="3545" spans="4:4" x14ac:dyDescent="0.45">
      <c r="D3545" t="s">
        <v>66</v>
      </c>
    </row>
    <row r="3546" spans="4:4" x14ac:dyDescent="0.45">
      <c r="D3546" t="s">
        <v>1342</v>
      </c>
    </row>
    <row r="3547" spans="4:4" x14ac:dyDescent="0.45">
      <c r="D3547" t="s">
        <v>1343</v>
      </c>
    </row>
    <row r="3548" spans="4:4" x14ac:dyDescent="0.45">
      <c r="D3548" t="s">
        <v>69</v>
      </c>
    </row>
    <row r="3549" spans="4:4" x14ac:dyDescent="0.45">
      <c r="D3549" t="s">
        <v>1344</v>
      </c>
    </row>
    <row r="3550" spans="4:4" x14ac:dyDescent="0.45">
      <c r="D3550" t="s">
        <v>1345</v>
      </c>
    </row>
    <row r="3551" spans="4:4" x14ac:dyDescent="0.45">
      <c r="D3551" t="s">
        <v>133</v>
      </c>
    </row>
    <row r="3552" spans="4:4" x14ac:dyDescent="0.45">
      <c r="D3552" t="s">
        <v>1346</v>
      </c>
    </row>
    <row r="3553" spans="4:4" x14ac:dyDescent="0.45">
      <c r="D3553" t="s">
        <v>127</v>
      </c>
    </row>
    <row r="3554" spans="4:4" x14ac:dyDescent="0.45">
      <c r="D3554" t="s">
        <v>84</v>
      </c>
    </row>
    <row r="3555" spans="4:4" x14ac:dyDescent="0.45">
      <c r="D3555" t="s">
        <v>85</v>
      </c>
    </row>
    <row r="3556" spans="4:4" x14ac:dyDescent="0.45">
      <c r="D3556" t="s">
        <v>1045</v>
      </c>
    </row>
    <row r="3557" spans="4:4" x14ac:dyDescent="0.45">
      <c r="D3557" t="s">
        <v>87</v>
      </c>
    </row>
    <row r="3558" spans="4:4" x14ac:dyDescent="0.45">
      <c r="D3558" t="s">
        <v>88</v>
      </c>
    </row>
    <row r="3559" spans="4:4" x14ac:dyDescent="0.45">
      <c r="D3559" t="s">
        <v>66</v>
      </c>
    </row>
    <row r="3560" spans="4:4" x14ac:dyDescent="0.45">
      <c r="D3560" t="s">
        <v>1347</v>
      </c>
    </row>
    <row r="3561" spans="4:4" x14ac:dyDescent="0.45">
      <c r="D3561" t="s">
        <v>1348</v>
      </c>
    </row>
    <row r="3562" spans="4:4" x14ac:dyDescent="0.45">
      <c r="D3562" t="s">
        <v>69</v>
      </c>
    </row>
    <row r="3563" spans="4:4" x14ac:dyDescent="0.45">
      <c r="D3563" t="s">
        <v>1349</v>
      </c>
    </row>
    <row r="3564" spans="4:4" x14ac:dyDescent="0.45">
      <c r="D3564" t="s">
        <v>1350</v>
      </c>
    </row>
    <row r="3565" spans="4:4" x14ac:dyDescent="0.45">
      <c r="D3565" t="s">
        <v>133</v>
      </c>
    </row>
    <row r="3566" spans="4:4" x14ac:dyDescent="0.45">
      <c r="D3566" t="s">
        <v>1351</v>
      </c>
    </row>
    <row r="3567" spans="4:4" x14ac:dyDescent="0.45">
      <c r="D3567" t="s">
        <v>127</v>
      </c>
    </row>
    <row r="3568" spans="4:4" x14ac:dyDescent="0.45">
      <c r="D3568" t="s">
        <v>84</v>
      </c>
    </row>
    <row r="3569" spans="4:4" x14ac:dyDescent="0.45">
      <c r="D3569" t="s">
        <v>85</v>
      </c>
    </row>
    <row r="3570" spans="4:4" x14ac:dyDescent="0.45">
      <c r="D3570" t="s">
        <v>1045</v>
      </c>
    </row>
    <row r="3571" spans="4:4" x14ac:dyDescent="0.45">
      <c r="D3571" t="s">
        <v>87</v>
      </c>
    </row>
    <row r="3572" spans="4:4" x14ac:dyDescent="0.45">
      <c r="D3572" t="s">
        <v>88</v>
      </c>
    </row>
    <row r="3573" spans="4:4" x14ac:dyDescent="0.45">
      <c r="D3573" t="s">
        <v>66</v>
      </c>
    </row>
    <row r="3574" spans="4:4" x14ac:dyDescent="0.45">
      <c r="D3574" t="s">
        <v>1352</v>
      </c>
    </row>
    <row r="3575" spans="4:4" x14ac:dyDescent="0.45">
      <c r="D3575" t="s">
        <v>1353</v>
      </c>
    </row>
    <row r="3576" spans="4:4" x14ac:dyDescent="0.45">
      <c r="D3576" t="s">
        <v>69</v>
      </c>
    </row>
    <row r="3577" spans="4:4" x14ac:dyDescent="0.45">
      <c r="D3577" t="s">
        <v>1354</v>
      </c>
    </row>
    <row r="3578" spans="4:4" x14ac:dyDescent="0.45">
      <c r="D3578" t="s">
        <v>1355</v>
      </c>
    </row>
    <row r="3579" spans="4:4" x14ac:dyDescent="0.45">
      <c r="D3579" t="s">
        <v>133</v>
      </c>
    </row>
    <row r="3580" spans="4:4" x14ac:dyDescent="0.45">
      <c r="D3580" t="s">
        <v>1356</v>
      </c>
    </row>
    <row r="3581" spans="4:4" x14ac:dyDescent="0.45">
      <c r="D3581" t="s">
        <v>127</v>
      </c>
    </row>
    <row r="3582" spans="4:4" x14ac:dyDescent="0.45">
      <c r="D3582" t="s">
        <v>84</v>
      </c>
    </row>
    <row r="3583" spans="4:4" x14ac:dyDescent="0.45">
      <c r="D3583" t="s">
        <v>85</v>
      </c>
    </row>
    <row r="3584" spans="4:4" x14ac:dyDescent="0.45">
      <c r="D3584" t="s">
        <v>1045</v>
      </c>
    </row>
    <row r="3585" spans="4:4" x14ac:dyDescent="0.45">
      <c r="D3585" t="s">
        <v>87</v>
      </c>
    </row>
    <row r="3586" spans="4:4" x14ac:dyDescent="0.45">
      <c r="D3586" t="s">
        <v>88</v>
      </c>
    </row>
    <row r="3587" spans="4:4" x14ac:dyDescent="0.45">
      <c r="D3587" t="s">
        <v>66</v>
      </c>
    </row>
    <row r="3588" spans="4:4" x14ac:dyDescent="0.45">
      <c r="D3588" t="s">
        <v>1357</v>
      </c>
    </row>
    <row r="3589" spans="4:4" x14ac:dyDescent="0.45">
      <c r="D3589" t="s">
        <v>1358</v>
      </c>
    </row>
    <row r="3590" spans="4:4" x14ac:dyDescent="0.45">
      <c r="D3590" t="s">
        <v>69</v>
      </c>
    </row>
    <row r="3591" spans="4:4" x14ac:dyDescent="0.45">
      <c r="D3591" t="s">
        <v>1359</v>
      </c>
    </row>
    <row r="3592" spans="4:4" x14ac:dyDescent="0.45">
      <c r="D3592" t="s">
        <v>1360</v>
      </c>
    </row>
    <row r="3593" spans="4:4" x14ac:dyDescent="0.45">
      <c r="D3593" t="s">
        <v>133</v>
      </c>
    </row>
    <row r="3594" spans="4:4" x14ac:dyDescent="0.45">
      <c r="D3594" t="s">
        <v>1361</v>
      </c>
    </row>
    <row r="3595" spans="4:4" x14ac:dyDescent="0.45">
      <c r="D3595" t="s">
        <v>127</v>
      </c>
    </row>
    <row r="3596" spans="4:4" x14ac:dyDescent="0.45">
      <c r="D3596" t="s">
        <v>84</v>
      </c>
    </row>
    <row r="3597" spans="4:4" x14ac:dyDescent="0.45">
      <c r="D3597" t="s">
        <v>85</v>
      </c>
    </row>
    <row r="3598" spans="4:4" x14ac:dyDescent="0.45">
      <c r="D3598" t="s">
        <v>1045</v>
      </c>
    </row>
    <row r="3599" spans="4:4" x14ac:dyDescent="0.45">
      <c r="D3599" t="s">
        <v>87</v>
      </c>
    </row>
    <row r="3600" spans="4:4" x14ac:dyDescent="0.45">
      <c r="D3600" t="s">
        <v>88</v>
      </c>
    </row>
    <row r="3601" spans="4:4" x14ac:dyDescent="0.45">
      <c r="D3601" t="s">
        <v>66</v>
      </c>
    </row>
    <row r="3602" spans="4:4" x14ac:dyDescent="0.45">
      <c r="D3602" t="s">
        <v>1362</v>
      </c>
    </row>
    <row r="3603" spans="4:4" x14ac:dyDescent="0.45">
      <c r="D3603" t="s">
        <v>1363</v>
      </c>
    </row>
    <row r="3604" spans="4:4" x14ac:dyDescent="0.45">
      <c r="D3604" t="s">
        <v>69</v>
      </c>
    </row>
    <row r="3605" spans="4:4" x14ac:dyDescent="0.45">
      <c r="D3605" t="s">
        <v>1364</v>
      </c>
    </row>
    <row r="3606" spans="4:4" x14ac:dyDescent="0.45">
      <c r="D3606" t="s">
        <v>1365</v>
      </c>
    </row>
    <row r="3607" spans="4:4" x14ac:dyDescent="0.45">
      <c r="D3607" t="s">
        <v>133</v>
      </c>
    </row>
    <row r="3608" spans="4:4" x14ac:dyDescent="0.45">
      <c r="D3608" t="s">
        <v>1366</v>
      </c>
    </row>
    <row r="3609" spans="4:4" x14ac:dyDescent="0.45">
      <c r="D3609" t="s">
        <v>127</v>
      </c>
    </row>
    <row r="3610" spans="4:4" x14ac:dyDescent="0.45">
      <c r="D3610" t="s">
        <v>84</v>
      </c>
    </row>
    <row r="3611" spans="4:4" x14ac:dyDescent="0.45">
      <c r="D3611" t="s">
        <v>85</v>
      </c>
    </row>
    <row r="3612" spans="4:4" x14ac:dyDescent="0.45">
      <c r="D3612" t="s">
        <v>1045</v>
      </c>
    </row>
    <row r="3613" spans="4:4" x14ac:dyDescent="0.45">
      <c r="D3613" t="s">
        <v>87</v>
      </c>
    </row>
    <row r="3614" spans="4:4" x14ac:dyDescent="0.45">
      <c r="D3614" t="s">
        <v>88</v>
      </c>
    </row>
    <row r="3615" spans="4:4" x14ac:dyDescent="0.45">
      <c r="D3615" t="s">
        <v>66</v>
      </c>
    </row>
    <row r="3616" spans="4:4" x14ac:dyDescent="0.45">
      <c r="D3616" t="s">
        <v>1367</v>
      </c>
    </row>
    <row r="3617" spans="4:4" x14ac:dyDescent="0.45">
      <c r="D3617" t="s">
        <v>1368</v>
      </c>
    </row>
    <row r="3618" spans="4:4" x14ac:dyDescent="0.45">
      <c r="D3618" t="s">
        <v>69</v>
      </c>
    </row>
    <row r="3619" spans="4:4" x14ac:dyDescent="0.45">
      <c r="D3619" t="s">
        <v>1369</v>
      </c>
    </row>
    <row r="3620" spans="4:4" x14ac:dyDescent="0.45">
      <c r="D3620" t="s">
        <v>1370</v>
      </c>
    </row>
    <row r="3621" spans="4:4" x14ac:dyDescent="0.45">
      <c r="D3621" t="s">
        <v>133</v>
      </c>
    </row>
    <row r="3622" spans="4:4" x14ac:dyDescent="0.45">
      <c r="D3622" t="s">
        <v>1371</v>
      </c>
    </row>
    <row r="3623" spans="4:4" x14ac:dyDescent="0.45">
      <c r="D3623" t="s">
        <v>127</v>
      </c>
    </row>
    <row r="3624" spans="4:4" x14ac:dyDescent="0.45">
      <c r="D3624" t="s">
        <v>84</v>
      </c>
    </row>
    <row r="3625" spans="4:4" x14ac:dyDescent="0.45">
      <c r="D3625" t="s">
        <v>85</v>
      </c>
    </row>
    <row r="3626" spans="4:4" x14ac:dyDescent="0.45">
      <c r="D3626" t="s">
        <v>1045</v>
      </c>
    </row>
    <row r="3627" spans="4:4" x14ac:dyDescent="0.45">
      <c r="D3627" t="s">
        <v>87</v>
      </c>
    </row>
    <row r="3628" spans="4:4" x14ac:dyDescent="0.45">
      <c r="D3628" t="s">
        <v>88</v>
      </c>
    </row>
    <row r="3629" spans="4:4" x14ac:dyDescent="0.45">
      <c r="D3629" t="s">
        <v>66</v>
      </c>
    </row>
    <row r="3630" spans="4:4" x14ac:dyDescent="0.45">
      <c r="D3630" t="s">
        <v>1372</v>
      </c>
    </row>
    <row r="3631" spans="4:4" x14ac:dyDescent="0.45">
      <c r="D3631" t="s">
        <v>1373</v>
      </c>
    </row>
    <row r="3632" spans="4:4" x14ac:dyDescent="0.45">
      <c r="D3632" t="s">
        <v>1374</v>
      </c>
    </row>
    <row r="3633" spans="4:4" x14ac:dyDescent="0.45">
      <c r="D3633" t="s">
        <v>69</v>
      </c>
    </row>
    <row r="3634" spans="4:4" x14ac:dyDescent="0.45">
      <c r="D3634" t="s">
        <v>1375</v>
      </c>
    </row>
    <row r="3635" spans="4:4" x14ac:dyDescent="0.45">
      <c r="D3635" t="s">
        <v>1376</v>
      </c>
    </row>
    <row r="3636" spans="4:4" x14ac:dyDescent="0.45">
      <c r="D3636" t="s">
        <v>133</v>
      </c>
    </row>
    <row r="3637" spans="4:4" x14ac:dyDescent="0.45">
      <c r="D3637" t="s">
        <v>1377</v>
      </c>
    </row>
    <row r="3638" spans="4:4" x14ac:dyDescent="0.45">
      <c r="D3638" t="s">
        <v>127</v>
      </c>
    </row>
    <row r="3639" spans="4:4" x14ac:dyDescent="0.45">
      <c r="D3639" t="s">
        <v>84</v>
      </c>
    </row>
    <row r="3640" spans="4:4" x14ac:dyDescent="0.45">
      <c r="D3640" t="s">
        <v>85</v>
      </c>
    </row>
    <row r="3641" spans="4:4" x14ac:dyDescent="0.45">
      <c r="D3641" t="s">
        <v>1378</v>
      </c>
    </row>
    <row r="3642" spans="4:4" x14ac:dyDescent="0.45">
      <c r="D3642" t="s">
        <v>87</v>
      </c>
    </row>
    <row r="3643" spans="4:4" x14ac:dyDescent="0.45">
      <c r="D3643" t="s">
        <v>88</v>
      </c>
    </row>
    <row r="3644" spans="4:4" x14ac:dyDescent="0.45">
      <c r="D3644" t="s">
        <v>66</v>
      </c>
    </row>
    <row r="3645" spans="4:4" x14ac:dyDescent="0.45">
      <c r="D3645" t="s">
        <v>1379</v>
      </c>
    </row>
    <row r="3646" spans="4:4" x14ac:dyDescent="0.45">
      <c r="D3646" t="s">
        <v>1380</v>
      </c>
    </row>
    <row r="3647" spans="4:4" x14ac:dyDescent="0.45">
      <c r="D3647" t="s">
        <v>1381</v>
      </c>
    </row>
    <row r="3648" spans="4:4" x14ac:dyDescent="0.45">
      <c r="D3648" t="s">
        <v>69</v>
      </c>
    </row>
    <row r="3649" spans="4:4" x14ac:dyDescent="0.45">
      <c r="D3649" t="s">
        <v>1382</v>
      </c>
    </row>
    <row r="3650" spans="4:4" x14ac:dyDescent="0.45">
      <c r="D3650" t="s">
        <v>1383</v>
      </c>
    </row>
    <row r="3651" spans="4:4" x14ac:dyDescent="0.45">
      <c r="D3651" t="s">
        <v>133</v>
      </c>
    </row>
    <row r="3652" spans="4:4" x14ac:dyDescent="0.45">
      <c r="D3652" t="s">
        <v>1384</v>
      </c>
    </row>
    <row r="3653" spans="4:4" x14ac:dyDescent="0.45">
      <c r="D3653" t="s">
        <v>127</v>
      </c>
    </row>
    <row r="3654" spans="4:4" x14ac:dyDescent="0.45">
      <c r="D3654" t="s">
        <v>84</v>
      </c>
    </row>
    <row r="3655" spans="4:4" x14ac:dyDescent="0.45">
      <c r="D3655" t="s">
        <v>85</v>
      </c>
    </row>
    <row r="3656" spans="4:4" x14ac:dyDescent="0.45">
      <c r="D3656" t="s">
        <v>1378</v>
      </c>
    </row>
    <row r="3657" spans="4:4" x14ac:dyDescent="0.45">
      <c r="D3657" t="s">
        <v>87</v>
      </c>
    </row>
    <row r="3658" spans="4:4" x14ac:dyDescent="0.45">
      <c r="D3658" t="s">
        <v>88</v>
      </c>
    </row>
    <row r="3659" spans="4:4" x14ac:dyDescent="0.45">
      <c r="D3659" t="s">
        <v>66</v>
      </c>
    </row>
    <row r="3660" spans="4:4" x14ac:dyDescent="0.45">
      <c r="D3660" t="s">
        <v>1385</v>
      </c>
    </row>
    <row r="3661" spans="4:4" x14ac:dyDescent="0.45">
      <c r="D3661" t="s">
        <v>1386</v>
      </c>
    </row>
    <row r="3662" spans="4:4" x14ac:dyDescent="0.45">
      <c r="D3662" t="s">
        <v>1387</v>
      </c>
    </row>
    <row r="3663" spans="4:4" x14ac:dyDescent="0.45">
      <c r="D3663" t="s">
        <v>69</v>
      </c>
    </row>
    <row r="3664" spans="4:4" x14ac:dyDescent="0.45">
      <c r="D3664" t="s">
        <v>1388</v>
      </c>
    </row>
    <row r="3665" spans="4:4" x14ac:dyDescent="0.45">
      <c r="D3665" t="s">
        <v>1389</v>
      </c>
    </row>
    <row r="3666" spans="4:4" x14ac:dyDescent="0.45">
      <c r="D3666" t="s">
        <v>133</v>
      </c>
    </row>
    <row r="3667" spans="4:4" x14ac:dyDescent="0.45">
      <c r="D3667" t="s">
        <v>1390</v>
      </c>
    </row>
    <row r="3668" spans="4:4" x14ac:dyDescent="0.45">
      <c r="D3668" t="s">
        <v>127</v>
      </c>
    </row>
    <row r="3669" spans="4:4" x14ac:dyDescent="0.45">
      <c r="D3669" t="s">
        <v>84</v>
      </c>
    </row>
    <row r="3670" spans="4:4" x14ac:dyDescent="0.45">
      <c r="D3670" t="s">
        <v>85</v>
      </c>
    </row>
    <row r="3671" spans="4:4" x14ac:dyDescent="0.45">
      <c r="D3671" t="s">
        <v>1391</v>
      </c>
    </row>
    <row r="3672" spans="4:4" x14ac:dyDescent="0.45">
      <c r="D3672" t="s">
        <v>87</v>
      </c>
    </row>
    <row r="3673" spans="4:4" x14ac:dyDescent="0.45">
      <c r="D3673" t="s">
        <v>88</v>
      </c>
    </row>
    <row r="3674" spans="4:4" x14ac:dyDescent="0.45">
      <c r="D3674" t="s">
        <v>66</v>
      </c>
    </row>
    <row r="3675" spans="4:4" x14ac:dyDescent="0.45">
      <c r="D3675" t="s">
        <v>1392</v>
      </c>
    </row>
    <row r="3676" spans="4:4" x14ac:dyDescent="0.45">
      <c r="D3676" t="s">
        <v>1393</v>
      </c>
    </row>
    <row r="3677" spans="4:4" x14ac:dyDescent="0.45">
      <c r="D3677" t="s">
        <v>69</v>
      </c>
    </row>
    <row r="3678" spans="4:4" x14ac:dyDescent="0.45">
      <c r="D3678" t="s">
        <v>1394</v>
      </c>
    </row>
    <row r="3679" spans="4:4" x14ac:dyDescent="0.45">
      <c r="D3679" t="s">
        <v>1395</v>
      </c>
    </row>
    <row r="3680" spans="4:4" x14ac:dyDescent="0.45">
      <c r="D3680" t="s">
        <v>133</v>
      </c>
    </row>
    <row r="3681" spans="4:4" x14ac:dyDescent="0.45">
      <c r="D3681" t="s">
        <v>1396</v>
      </c>
    </row>
    <row r="3682" spans="4:4" x14ac:dyDescent="0.45">
      <c r="D3682" t="s">
        <v>127</v>
      </c>
    </row>
    <row r="3683" spans="4:4" x14ac:dyDescent="0.45">
      <c r="D3683" t="s">
        <v>84</v>
      </c>
    </row>
    <row r="3684" spans="4:4" x14ac:dyDescent="0.45">
      <c r="D3684" t="s">
        <v>85</v>
      </c>
    </row>
    <row r="3685" spans="4:4" x14ac:dyDescent="0.45">
      <c r="D3685" t="s">
        <v>1045</v>
      </c>
    </row>
    <row r="3686" spans="4:4" x14ac:dyDescent="0.45">
      <c r="D3686" t="s">
        <v>87</v>
      </c>
    </row>
    <row r="3687" spans="4:4" x14ac:dyDescent="0.45">
      <c r="D3687" t="s">
        <v>88</v>
      </c>
    </row>
    <row r="3688" spans="4:4" x14ac:dyDescent="0.45">
      <c r="D3688" t="s">
        <v>66</v>
      </c>
    </row>
    <row r="3689" spans="4:4" x14ac:dyDescent="0.45">
      <c r="D3689" t="s">
        <v>1397</v>
      </c>
    </row>
    <row r="3690" spans="4:4" x14ac:dyDescent="0.45">
      <c r="D3690" t="s">
        <v>1398</v>
      </c>
    </row>
    <row r="3691" spans="4:4" x14ac:dyDescent="0.45">
      <c r="D3691" t="s">
        <v>69</v>
      </c>
    </row>
    <row r="3692" spans="4:4" x14ac:dyDescent="0.45">
      <c r="D3692" t="s">
        <v>1399</v>
      </c>
    </row>
    <row r="3693" spans="4:4" x14ac:dyDescent="0.45">
      <c r="D3693" t="s">
        <v>1400</v>
      </c>
    </row>
    <row r="3694" spans="4:4" x14ac:dyDescent="0.45">
      <c r="D3694" t="s">
        <v>133</v>
      </c>
    </row>
    <row r="3695" spans="4:4" x14ac:dyDescent="0.45">
      <c r="D3695" t="s">
        <v>1401</v>
      </c>
    </row>
    <row r="3696" spans="4:4" x14ac:dyDescent="0.45">
      <c r="D3696" t="s">
        <v>127</v>
      </c>
    </row>
    <row r="3697" spans="4:4" x14ac:dyDescent="0.45">
      <c r="D3697" t="s">
        <v>84</v>
      </c>
    </row>
    <row r="3698" spans="4:4" x14ac:dyDescent="0.45">
      <c r="D3698" t="s">
        <v>85</v>
      </c>
    </row>
    <row r="3699" spans="4:4" x14ac:dyDescent="0.45">
      <c r="D3699" t="s">
        <v>1402</v>
      </c>
    </row>
    <row r="3700" spans="4:4" x14ac:dyDescent="0.45">
      <c r="D3700" t="s">
        <v>87</v>
      </c>
    </row>
    <row r="3701" spans="4:4" x14ac:dyDescent="0.45">
      <c r="D3701" t="s">
        <v>88</v>
      </c>
    </row>
    <row r="3702" spans="4:4" x14ac:dyDescent="0.45">
      <c r="D3702" t="s">
        <v>66</v>
      </c>
    </row>
    <row r="3703" spans="4:4" x14ac:dyDescent="0.45">
      <c r="D3703" t="s">
        <v>1403</v>
      </c>
    </row>
    <row r="3704" spans="4:4" x14ac:dyDescent="0.45">
      <c r="D3704" t="s">
        <v>1404</v>
      </c>
    </row>
    <row r="3705" spans="4:4" x14ac:dyDescent="0.45">
      <c r="D3705" t="s">
        <v>69</v>
      </c>
    </row>
    <row r="3706" spans="4:4" x14ac:dyDescent="0.45">
      <c r="D3706" t="s">
        <v>1405</v>
      </c>
    </row>
    <row r="3707" spans="4:4" x14ac:dyDescent="0.45">
      <c r="D3707" t="s">
        <v>1406</v>
      </c>
    </row>
    <row r="3708" spans="4:4" x14ac:dyDescent="0.45">
      <c r="D3708" t="s">
        <v>133</v>
      </c>
    </row>
    <row r="3709" spans="4:4" x14ac:dyDescent="0.45">
      <c r="D3709" t="s">
        <v>1407</v>
      </c>
    </row>
    <row r="3710" spans="4:4" x14ac:dyDescent="0.45">
      <c r="D3710" t="s">
        <v>127</v>
      </c>
    </row>
    <row r="3711" spans="4:4" x14ac:dyDescent="0.45">
      <c r="D3711" t="s">
        <v>84</v>
      </c>
    </row>
    <row r="3712" spans="4:4" x14ac:dyDescent="0.45">
      <c r="D3712" t="s">
        <v>85</v>
      </c>
    </row>
    <row r="3713" spans="4:4" x14ac:dyDescent="0.45">
      <c r="D3713" t="s">
        <v>1402</v>
      </c>
    </row>
    <row r="3714" spans="4:4" x14ac:dyDescent="0.45">
      <c r="D3714" t="s">
        <v>87</v>
      </c>
    </row>
    <row r="3715" spans="4:4" x14ac:dyDescent="0.45">
      <c r="D3715" t="s">
        <v>88</v>
      </c>
    </row>
    <row r="3716" spans="4:4" x14ac:dyDescent="0.45">
      <c r="D3716" t="s">
        <v>66</v>
      </c>
    </row>
    <row r="3717" spans="4:4" x14ac:dyDescent="0.45">
      <c r="D3717" t="s">
        <v>1408</v>
      </c>
    </row>
    <row r="3718" spans="4:4" x14ac:dyDescent="0.45">
      <c r="D3718" t="s">
        <v>1409</v>
      </c>
    </row>
    <row r="3719" spans="4:4" x14ac:dyDescent="0.45">
      <c r="D3719" t="s">
        <v>69</v>
      </c>
    </row>
    <row r="3720" spans="4:4" x14ac:dyDescent="0.45">
      <c r="D3720" t="s">
        <v>1410</v>
      </c>
    </row>
    <row r="3721" spans="4:4" x14ac:dyDescent="0.45">
      <c r="D3721" t="s">
        <v>1411</v>
      </c>
    </row>
    <row r="3722" spans="4:4" x14ac:dyDescent="0.45">
      <c r="D3722" t="s">
        <v>133</v>
      </c>
    </row>
    <row r="3723" spans="4:4" x14ac:dyDescent="0.45">
      <c r="D3723" t="s">
        <v>1412</v>
      </c>
    </row>
    <row r="3724" spans="4:4" x14ac:dyDescent="0.45">
      <c r="D3724" t="s">
        <v>127</v>
      </c>
    </row>
    <row r="3725" spans="4:4" x14ac:dyDescent="0.45">
      <c r="D3725" t="s">
        <v>84</v>
      </c>
    </row>
    <row r="3726" spans="4:4" x14ac:dyDescent="0.45">
      <c r="D3726" t="s">
        <v>85</v>
      </c>
    </row>
    <row r="3727" spans="4:4" x14ac:dyDescent="0.45">
      <c r="D3727" t="s">
        <v>1402</v>
      </c>
    </row>
    <row r="3728" spans="4:4" x14ac:dyDescent="0.45">
      <c r="D3728" t="s">
        <v>87</v>
      </c>
    </row>
    <row r="3729" spans="4:4" x14ac:dyDescent="0.45">
      <c r="D3729" t="s">
        <v>88</v>
      </c>
    </row>
    <row r="3730" spans="4:4" x14ac:dyDescent="0.45">
      <c r="D3730" t="s">
        <v>66</v>
      </c>
    </row>
    <row r="3731" spans="4:4" x14ac:dyDescent="0.45">
      <c r="D3731" t="s">
        <v>1413</v>
      </c>
    </row>
    <row r="3732" spans="4:4" x14ac:dyDescent="0.45">
      <c r="D3732" t="s">
        <v>1414</v>
      </c>
    </row>
    <row r="3733" spans="4:4" x14ac:dyDescent="0.45">
      <c r="D3733" t="s">
        <v>69</v>
      </c>
    </row>
    <row r="3734" spans="4:4" x14ac:dyDescent="0.45">
      <c r="D3734" t="s">
        <v>1415</v>
      </c>
    </row>
    <row r="3735" spans="4:4" x14ac:dyDescent="0.45">
      <c r="D3735" t="s">
        <v>1416</v>
      </c>
    </row>
    <row r="3736" spans="4:4" x14ac:dyDescent="0.45">
      <c r="D3736" t="s">
        <v>133</v>
      </c>
    </row>
    <row r="3737" spans="4:4" x14ac:dyDescent="0.45">
      <c r="D3737" t="s">
        <v>1417</v>
      </c>
    </row>
    <row r="3738" spans="4:4" x14ac:dyDescent="0.45">
      <c r="D3738" t="s">
        <v>127</v>
      </c>
    </row>
    <row r="3739" spans="4:4" x14ac:dyDescent="0.45">
      <c r="D3739" t="s">
        <v>84</v>
      </c>
    </row>
    <row r="3740" spans="4:4" x14ac:dyDescent="0.45">
      <c r="D3740" t="s">
        <v>85</v>
      </c>
    </row>
    <row r="3741" spans="4:4" x14ac:dyDescent="0.45">
      <c r="D3741" t="s">
        <v>1402</v>
      </c>
    </row>
    <row r="3742" spans="4:4" x14ac:dyDescent="0.45">
      <c r="D3742" t="s">
        <v>87</v>
      </c>
    </row>
    <row r="3743" spans="4:4" x14ac:dyDescent="0.45">
      <c r="D3743" t="s">
        <v>88</v>
      </c>
    </row>
    <row r="3744" spans="4:4" x14ac:dyDescent="0.45">
      <c r="D3744" t="s">
        <v>66</v>
      </c>
    </row>
    <row r="3745" spans="4:4" x14ac:dyDescent="0.45">
      <c r="D3745" t="s">
        <v>1418</v>
      </c>
    </row>
    <row r="3746" spans="4:4" x14ac:dyDescent="0.45">
      <c r="D3746" t="s">
        <v>1419</v>
      </c>
    </row>
    <row r="3747" spans="4:4" x14ac:dyDescent="0.45">
      <c r="D3747" t="s">
        <v>69</v>
      </c>
    </row>
    <row r="3748" spans="4:4" x14ac:dyDescent="0.45">
      <c r="D3748" t="s">
        <v>1420</v>
      </c>
    </row>
    <row r="3749" spans="4:4" x14ac:dyDescent="0.45">
      <c r="D3749" t="s">
        <v>1421</v>
      </c>
    </row>
    <row r="3750" spans="4:4" x14ac:dyDescent="0.45">
      <c r="D3750" t="s">
        <v>133</v>
      </c>
    </row>
    <row r="3751" spans="4:4" x14ac:dyDescent="0.45">
      <c r="D3751" t="s">
        <v>1422</v>
      </c>
    </row>
    <row r="3752" spans="4:4" x14ac:dyDescent="0.45">
      <c r="D3752" t="s">
        <v>127</v>
      </c>
    </row>
    <row r="3753" spans="4:4" x14ac:dyDescent="0.45">
      <c r="D3753" t="s">
        <v>84</v>
      </c>
    </row>
    <row r="3754" spans="4:4" x14ac:dyDescent="0.45">
      <c r="D3754" t="s">
        <v>85</v>
      </c>
    </row>
    <row r="3755" spans="4:4" x14ac:dyDescent="0.45">
      <c r="D3755" t="s">
        <v>1423</v>
      </c>
    </row>
    <row r="3756" spans="4:4" x14ac:dyDescent="0.45">
      <c r="D3756" t="s">
        <v>87</v>
      </c>
    </row>
    <row r="3757" spans="4:4" x14ac:dyDescent="0.45">
      <c r="D3757" t="s">
        <v>1196</v>
      </c>
    </row>
    <row r="3758" spans="4:4" x14ac:dyDescent="0.45">
      <c r="D3758" t="s">
        <v>1197</v>
      </c>
    </row>
    <row r="3759" spans="4:4" x14ac:dyDescent="0.45">
      <c r="D3759" t="s">
        <v>1198</v>
      </c>
    </row>
    <row r="3760" spans="4:4" x14ac:dyDescent="0.45">
      <c r="D3760" t="s">
        <v>1424</v>
      </c>
    </row>
    <row r="3761" spans="4:4" x14ac:dyDescent="0.45">
      <c r="D3761" t="s">
        <v>1200</v>
      </c>
    </row>
    <row r="3762" spans="4:4" x14ac:dyDescent="0.45">
      <c r="D3762" t="s">
        <v>88</v>
      </c>
    </row>
    <row r="3763" spans="4:4" x14ac:dyDescent="0.45">
      <c r="D3763" t="s">
        <v>66</v>
      </c>
    </row>
    <row r="3764" spans="4:4" x14ac:dyDescent="0.45">
      <c r="D3764" t="s">
        <v>1425</v>
      </c>
    </row>
    <row r="3765" spans="4:4" x14ac:dyDescent="0.45">
      <c r="D3765" t="s">
        <v>1426</v>
      </c>
    </row>
    <row r="3766" spans="4:4" x14ac:dyDescent="0.45">
      <c r="D3766" t="s">
        <v>69</v>
      </c>
    </row>
    <row r="3767" spans="4:4" x14ac:dyDescent="0.45">
      <c r="D3767" t="s">
        <v>1427</v>
      </c>
    </row>
    <row r="3768" spans="4:4" x14ac:dyDescent="0.45">
      <c r="D3768" t="s">
        <v>1428</v>
      </c>
    </row>
    <row r="3769" spans="4:4" x14ac:dyDescent="0.45">
      <c r="D3769" t="s">
        <v>133</v>
      </c>
    </row>
    <row r="3770" spans="4:4" x14ac:dyDescent="0.45">
      <c r="D3770" t="s">
        <v>1429</v>
      </c>
    </row>
    <row r="3771" spans="4:4" x14ac:dyDescent="0.45">
      <c r="D3771" t="s">
        <v>127</v>
      </c>
    </row>
    <row r="3772" spans="4:4" x14ac:dyDescent="0.45">
      <c r="D3772" t="s">
        <v>84</v>
      </c>
    </row>
    <row r="3773" spans="4:4" x14ac:dyDescent="0.45">
      <c r="D3773" t="s">
        <v>85</v>
      </c>
    </row>
    <row r="3774" spans="4:4" x14ac:dyDescent="0.45">
      <c r="D3774" t="s">
        <v>1430</v>
      </c>
    </row>
    <row r="3775" spans="4:4" x14ac:dyDescent="0.45">
      <c r="D3775" t="s">
        <v>87</v>
      </c>
    </row>
    <row r="3776" spans="4:4" x14ac:dyDescent="0.45">
      <c r="D3776" t="s">
        <v>1196</v>
      </c>
    </row>
    <row r="3777" spans="4:4" x14ac:dyDescent="0.45">
      <c r="D3777" t="s">
        <v>1197</v>
      </c>
    </row>
    <row r="3778" spans="4:4" x14ac:dyDescent="0.45">
      <c r="D3778" t="s">
        <v>1198</v>
      </c>
    </row>
    <row r="3779" spans="4:4" x14ac:dyDescent="0.45">
      <c r="D3779" t="s">
        <v>1424</v>
      </c>
    </row>
    <row r="3780" spans="4:4" x14ac:dyDescent="0.45">
      <c r="D3780" t="s">
        <v>1200</v>
      </c>
    </row>
    <row r="3781" spans="4:4" x14ac:dyDescent="0.45">
      <c r="D3781" t="s">
        <v>88</v>
      </c>
    </row>
    <row r="3782" spans="4:4" x14ac:dyDescent="0.45">
      <c r="D3782" t="s">
        <v>66</v>
      </c>
    </row>
    <row r="3783" spans="4:4" x14ac:dyDescent="0.45">
      <c r="D3783" t="s">
        <v>1431</v>
      </c>
    </row>
    <row r="3784" spans="4:4" x14ac:dyDescent="0.45">
      <c r="D3784" t="s">
        <v>1432</v>
      </c>
    </row>
    <row r="3785" spans="4:4" x14ac:dyDescent="0.45">
      <c r="D3785" t="s">
        <v>69</v>
      </c>
    </row>
    <row r="3786" spans="4:4" x14ac:dyDescent="0.45">
      <c r="D3786" t="s">
        <v>1433</v>
      </c>
    </row>
    <row r="3787" spans="4:4" x14ac:dyDescent="0.45">
      <c r="D3787" t="s">
        <v>1434</v>
      </c>
    </row>
    <row r="3788" spans="4:4" x14ac:dyDescent="0.45">
      <c r="D3788" t="s">
        <v>133</v>
      </c>
    </row>
    <row r="3789" spans="4:4" x14ac:dyDescent="0.45">
      <c r="D3789" t="s">
        <v>1435</v>
      </c>
    </row>
    <row r="3790" spans="4:4" x14ac:dyDescent="0.45">
      <c r="D3790" t="s">
        <v>127</v>
      </c>
    </row>
    <row r="3791" spans="4:4" x14ac:dyDescent="0.45">
      <c r="D3791" t="s">
        <v>139</v>
      </c>
    </row>
    <row r="3792" spans="4:4" x14ac:dyDescent="0.45">
      <c r="D3792" t="s">
        <v>85</v>
      </c>
    </row>
    <row r="3793" spans="4:4" x14ac:dyDescent="0.45">
      <c r="D3793" t="s">
        <v>1436</v>
      </c>
    </row>
    <row r="3794" spans="4:4" x14ac:dyDescent="0.45">
      <c r="D3794" t="s">
        <v>87</v>
      </c>
    </row>
    <row r="3795" spans="4:4" x14ac:dyDescent="0.45">
      <c r="D3795" t="s">
        <v>1196</v>
      </c>
    </row>
    <row r="3796" spans="4:4" x14ac:dyDescent="0.45">
      <c r="D3796" t="s">
        <v>1197</v>
      </c>
    </row>
    <row r="3797" spans="4:4" x14ac:dyDescent="0.45">
      <c r="D3797" t="s">
        <v>1198</v>
      </c>
    </row>
    <row r="3798" spans="4:4" x14ac:dyDescent="0.45">
      <c r="D3798" t="s">
        <v>1424</v>
      </c>
    </row>
    <row r="3799" spans="4:4" x14ac:dyDescent="0.45">
      <c r="D3799" t="s">
        <v>1200</v>
      </c>
    </row>
    <row r="3800" spans="4:4" x14ac:dyDescent="0.45">
      <c r="D3800" t="s">
        <v>88</v>
      </c>
    </row>
    <row r="3801" spans="4:4" x14ac:dyDescent="0.45">
      <c r="D3801" t="s">
        <v>66</v>
      </c>
    </row>
    <row r="3802" spans="4:4" x14ac:dyDescent="0.45">
      <c r="D3802" t="s">
        <v>1437</v>
      </c>
    </row>
    <row r="3803" spans="4:4" x14ac:dyDescent="0.45">
      <c r="D3803" t="s">
        <v>1438</v>
      </c>
    </row>
    <row r="3804" spans="4:4" x14ac:dyDescent="0.45">
      <c r="D3804" t="s">
        <v>69</v>
      </c>
    </row>
    <row r="3805" spans="4:4" x14ac:dyDescent="0.45">
      <c r="D3805" t="s">
        <v>1439</v>
      </c>
    </row>
    <row r="3806" spans="4:4" x14ac:dyDescent="0.45">
      <c r="D3806" t="s">
        <v>1440</v>
      </c>
    </row>
    <row r="3807" spans="4:4" x14ac:dyDescent="0.45">
      <c r="D3807" t="s">
        <v>133</v>
      </c>
    </row>
    <row r="3808" spans="4:4" x14ac:dyDescent="0.45">
      <c r="D3808" t="s">
        <v>1441</v>
      </c>
    </row>
    <row r="3809" spans="4:4" x14ac:dyDescent="0.45">
      <c r="D3809" t="s">
        <v>1442</v>
      </c>
    </row>
    <row r="3810" spans="4:4" x14ac:dyDescent="0.45">
      <c r="D3810" t="s">
        <v>84</v>
      </c>
    </row>
    <row r="3811" spans="4:4" x14ac:dyDescent="0.45">
      <c r="D3811" t="s">
        <v>85</v>
      </c>
    </row>
    <row r="3812" spans="4:4" x14ac:dyDescent="0.45">
      <c r="D3812" t="s">
        <v>1443</v>
      </c>
    </row>
    <row r="3813" spans="4:4" x14ac:dyDescent="0.45">
      <c r="D3813" t="s">
        <v>87</v>
      </c>
    </row>
    <row r="3814" spans="4:4" x14ac:dyDescent="0.45">
      <c r="D3814" t="s">
        <v>1196</v>
      </c>
    </row>
    <row r="3815" spans="4:4" x14ac:dyDescent="0.45">
      <c r="D3815" t="s">
        <v>1197</v>
      </c>
    </row>
    <row r="3816" spans="4:4" x14ac:dyDescent="0.45">
      <c r="D3816" t="s">
        <v>1198</v>
      </c>
    </row>
    <row r="3817" spans="4:4" x14ac:dyDescent="0.45">
      <c r="D3817" t="s">
        <v>1424</v>
      </c>
    </row>
    <row r="3818" spans="4:4" x14ac:dyDescent="0.45">
      <c r="D3818" t="s">
        <v>1200</v>
      </c>
    </row>
    <row r="3819" spans="4:4" x14ac:dyDescent="0.45">
      <c r="D3819" t="s">
        <v>88</v>
      </c>
    </row>
    <row r="3820" spans="4:4" x14ac:dyDescent="0.45">
      <c r="D3820" t="s">
        <v>66</v>
      </c>
    </row>
    <row r="3821" spans="4:4" x14ac:dyDescent="0.45">
      <c r="D3821" t="s">
        <v>1444</v>
      </c>
    </row>
    <row r="3822" spans="4:4" x14ac:dyDescent="0.45">
      <c r="D3822" t="s">
        <v>1445</v>
      </c>
    </row>
    <row r="3823" spans="4:4" x14ac:dyDescent="0.45">
      <c r="D3823" t="s">
        <v>69</v>
      </c>
    </row>
    <row r="3824" spans="4:4" x14ac:dyDescent="0.45">
      <c r="D3824" t="s">
        <v>1446</v>
      </c>
    </row>
    <row r="3825" spans="4:4" x14ac:dyDescent="0.45">
      <c r="D3825" t="s">
        <v>1447</v>
      </c>
    </row>
    <row r="3826" spans="4:4" x14ac:dyDescent="0.45">
      <c r="D3826" t="s">
        <v>133</v>
      </c>
    </row>
    <row r="3827" spans="4:4" x14ac:dyDescent="0.45">
      <c r="D3827" t="s">
        <v>1448</v>
      </c>
    </row>
    <row r="3828" spans="4:4" x14ac:dyDescent="0.45">
      <c r="D3828" t="s">
        <v>127</v>
      </c>
    </row>
    <row r="3829" spans="4:4" x14ac:dyDescent="0.45">
      <c r="D3829" t="s">
        <v>84</v>
      </c>
    </row>
    <row r="3830" spans="4:4" x14ac:dyDescent="0.45">
      <c r="D3830" t="s">
        <v>85</v>
      </c>
    </row>
    <row r="3831" spans="4:4" x14ac:dyDescent="0.45">
      <c r="D3831" t="s">
        <v>1449</v>
      </c>
    </row>
    <row r="3832" spans="4:4" x14ac:dyDescent="0.45">
      <c r="D3832" t="s">
        <v>87</v>
      </c>
    </row>
    <row r="3833" spans="4:4" x14ac:dyDescent="0.45">
      <c r="D3833" t="s">
        <v>1196</v>
      </c>
    </row>
    <row r="3834" spans="4:4" x14ac:dyDescent="0.45">
      <c r="D3834" t="s">
        <v>1197</v>
      </c>
    </row>
    <row r="3835" spans="4:4" x14ac:dyDescent="0.45">
      <c r="D3835" t="s">
        <v>1198</v>
      </c>
    </row>
    <row r="3836" spans="4:4" x14ac:dyDescent="0.45">
      <c r="D3836" t="s">
        <v>1424</v>
      </c>
    </row>
    <row r="3837" spans="4:4" x14ac:dyDescent="0.45">
      <c r="D3837" t="s">
        <v>1200</v>
      </c>
    </row>
    <row r="3838" spans="4:4" x14ac:dyDescent="0.45">
      <c r="D3838" t="s">
        <v>88</v>
      </c>
    </row>
    <row r="3839" spans="4:4" x14ac:dyDescent="0.45">
      <c r="D3839" t="s">
        <v>66</v>
      </c>
    </row>
    <row r="3840" spans="4:4" x14ac:dyDescent="0.45">
      <c r="D3840" t="s">
        <v>1450</v>
      </c>
    </row>
    <row r="3841" spans="4:4" x14ac:dyDescent="0.45">
      <c r="D3841" t="s">
        <v>1451</v>
      </c>
    </row>
    <row r="3842" spans="4:4" x14ac:dyDescent="0.45">
      <c r="D3842" t="s">
        <v>69</v>
      </c>
    </row>
    <row r="3843" spans="4:4" x14ac:dyDescent="0.45">
      <c r="D3843" t="s">
        <v>1452</v>
      </c>
    </row>
    <row r="3844" spans="4:4" x14ac:dyDescent="0.45">
      <c r="D3844" t="s">
        <v>1453</v>
      </c>
    </row>
    <row r="3845" spans="4:4" x14ac:dyDescent="0.45">
      <c r="D3845" t="s">
        <v>133</v>
      </c>
    </row>
    <row r="3846" spans="4:4" x14ac:dyDescent="0.45">
      <c r="D3846" t="s">
        <v>1454</v>
      </c>
    </row>
    <row r="3847" spans="4:4" x14ac:dyDescent="0.45">
      <c r="D3847" t="s">
        <v>127</v>
      </c>
    </row>
    <row r="3848" spans="4:4" x14ac:dyDescent="0.45">
      <c r="D3848" t="s">
        <v>84</v>
      </c>
    </row>
    <row r="3849" spans="4:4" x14ac:dyDescent="0.45">
      <c r="D3849" t="s">
        <v>85</v>
      </c>
    </row>
    <row r="3850" spans="4:4" x14ac:dyDescent="0.45">
      <c r="D3850" t="s">
        <v>1455</v>
      </c>
    </row>
    <row r="3851" spans="4:4" x14ac:dyDescent="0.45">
      <c r="D3851" t="s">
        <v>87</v>
      </c>
    </row>
    <row r="3852" spans="4:4" x14ac:dyDescent="0.45">
      <c r="D3852" t="s">
        <v>1196</v>
      </c>
    </row>
    <row r="3853" spans="4:4" x14ac:dyDescent="0.45">
      <c r="D3853" t="s">
        <v>1197</v>
      </c>
    </row>
    <row r="3854" spans="4:4" x14ac:dyDescent="0.45">
      <c r="D3854" t="s">
        <v>1198</v>
      </c>
    </row>
    <row r="3855" spans="4:4" x14ac:dyDescent="0.45">
      <c r="D3855" t="s">
        <v>1424</v>
      </c>
    </row>
    <row r="3856" spans="4:4" x14ac:dyDescent="0.45">
      <c r="D3856" t="s">
        <v>1200</v>
      </c>
    </row>
    <row r="3857" spans="4:4" x14ac:dyDescent="0.45">
      <c r="D3857" t="s">
        <v>88</v>
      </c>
    </row>
    <row r="3858" spans="4:4" x14ac:dyDescent="0.45">
      <c r="D3858" t="s">
        <v>66</v>
      </c>
    </row>
    <row r="3859" spans="4:4" x14ac:dyDescent="0.45">
      <c r="D3859" t="s">
        <v>1456</v>
      </c>
    </row>
    <row r="3860" spans="4:4" x14ac:dyDescent="0.45">
      <c r="D3860" t="s">
        <v>1457</v>
      </c>
    </row>
    <row r="3861" spans="4:4" x14ac:dyDescent="0.45">
      <c r="D3861" t="s">
        <v>69</v>
      </c>
    </row>
    <row r="3862" spans="4:4" x14ac:dyDescent="0.45">
      <c r="D3862" t="s">
        <v>1458</v>
      </c>
    </row>
    <row r="3863" spans="4:4" x14ac:dyDescent="0.45">
      <c r="D3863" t="s">
        <v>1459</v>
      </c>
    </row>
    <row r="3864" spans="4:4" x14ac:dyDescent="0.45">
      <c r="D3864" t="s">
        <v>133</v>
      </c>
    </row>
    <row r="3865" spans="4:4" x14ac:dyDescent="0.45">
      <c r="D3865" t="s">
        <v>1460</v>
      </c>
    </row>
    <row r="3866" spans="4:4" x14ac:dyDescent="0.45">
      <c r="D3866" t="s">
        <v>127</v>
      </c>
    </row>
    <row r="3867" spans="4:4" x14ac:dyDescent="0.45">
      <c r="D3867" t="s">
        <v>84</v>
      </c>
    </row>
    <row r="3868" spans="4:4" x14ac:dyDescent="0.45">
      <c r="D3868" t="s">
        <v>85</v>
      </c>
    </row>
    <row r="3869" spans="4:4" x14ac:dyDescent="0.45">
      <c r="D3869" t="s">
        <v>1461</v>
      </c>
    </row>
    <row r="3870" spans="4:4" x14ac:dyDescent="0.45">
      <c r="D3870" t="s">
        <v>87</v>
      </c>
    </row>
    <row r="3871" spans="4:4" x14ac:dyDescent="0.45">
      <c r="D3871" t="s">
        <v>1196</v>
      </c>
    </row>
    <row r="3872" spans="4:4" x14ac:dyDescent="0.45">
      <c r="D3872" t="s">
        <v>1197</v>
      </c>
    </row>
    <row r="3873" spans="4:4" x14ac:dyDescent="0.45">
      <c r="D3873" t="s">
        <v>1198</v>
      </c>
    </row>
    <row r="3874" spans="4:4" x14ac:dyDescent="0.45">
      <c r="D3874" t="s">
        <v>1424</v>
      </c>
    </row>
    <row r="3875" spans="4:4" x14ac:dyDescent="0.45">
      <c r="D3875" t="s">
        <v>1200</v>
      </c>
    </row>
    <row r="3876" spans="4:4" x14ac:dyDescent="0.45">
      <c r="D3876" t="s">
        <v>88</v>
      </c>
    </row>
    <row r="3877" spans="4:4" x14ac:dyDescent="0.45">
      <c r="D3877" t="s">
        <v>66</v>
      </c>
    </row>
    <row r="3878" spans="4:4" x14ac:dyDescent="0.45">
      <c r="D3878" t="s">
        <v>1462</v>
      </c>
    </row>
    <row r="3879" spans="4:4" x14ac:dyDescent="0.45">
      <c r="D3879" t="s">
        <v>1463</v>
      </c>
    </row>
    <row r="3880" spans="4:4" x14ac:dyDescent="0.45">
      <c r="D3880" t="s">
        <v>69</v>
      </c>
    </row>
    <row r="3881" spans="4:4" x14ac:dyDescent="0.45">
      <c r="D3881" t="s">
        <v>1464</v>
      </c>
    </row>
    <row r="3882" spans="4:4" x14ac:dyDescent="0.45">
      <c r="D3882" t="s">
        <v>1465</v>
      </c>
    </row>
    <row r="3883" spans="4:4" x14ac:dyDescent="0.45">
      <c r="D3883" t="s">
        <v>133</v>
      </c>
    </row>
    <row r="3884" spans="4:4" x14ac:dyDescent="0.45">
      <c r="D3884" t="s">
        <v>1466</v>
      </c>
    </row>
    <row r="3885" spans="4:4" x14ac:dyDescent="0.45">
      <c r="D3885" t="s">
        <v>127</v>
      </c>
    </row>
    <row r="3886" spans="4:4" x14ac:dyDescent="0.45">
      <c r="D3886" t="s">
        <v>84</v>
      </c>
    </row>
    <row r="3887" spans="4:4" x14ac:dyDescent="0.45">
      <c r="D3887" t="s">
        <v>85</v>
      </c>
    </row>
    <row r="3888" spans="4:4" x14ac:dyDescent="0.45">
      <c r="D3888" t="s">
        <v>1467</v>
      </c>
    </row>
    <row r="3889" spans="4:4" x14ac:dyDescent="0.45">
      <c r="D3889" t="s">
        <v>87</v>
      </c>
    </row>
    <row r="3890" spans="4:4" x14ac:dyDescent="0.45">
      <c r="D3890" t="s">
        <v>1196</v>
      </c>
    </row>
    <row r="3891" spans="4:4" x14ac:dyDescent="0.45">
      <c r="D3891" t="s">
        <v>1197</v>
      </c>
    </row>
    <row r="3892" spans="4:4" x14ac:dyDescent="0.45">
      <c r="D3892" t="s">
        <v>1198</v>
      </c>
    </row>
    <row r="3893" spans="4:4" x14ac:dyDescent="0.45">
      <c r="D3893" t="s">
        <v>1424</v>
      </c>
    </row>
    <row r="3894" spans="4:4" x14ac:dyDescent="0.45">
      <c r="D3894" t="s">
        <v>1200</v>
      </c>
    </row>
    <row r="3895" spans="4:4" x14ac:dyDescent="0.45">
      <c r="D3895" t="s">
        <v>88</v>
      </c>
    </row>
    <row r="3896" spans="4:4" x14ac:dyDescent="0.45">
      <c r="D3896" t="s">
        <v>66</v>
      </c>
    </row>
    <row r="3897" spans="4:4" x14ac:dyDescent="0.45">
      <c r="D3897" t="s">
        <v>1468</v>
      </c>
    </row>
    <row r="3898" spans="4:4" x14ac:dyDescent="0.45">
      <c r="D3898" t="s">
        <v>1469</v>
      </c>
    </row>
    <row r="3899" spans="4:4" x14ac:dyDescent="0.45">
      <c r="D3899" t="s">
        <v>69</v>
      </c>
    </row>
    <row r="3900" spans="4:4" x14ac:dyDescent="0.45">
      <c r="D3900" t="s">
        <v>1470</v>
      </c>
    </row>
    <row r="3901" spans="4:4" x14ac:dyDescent="0.45">
      <c r="D3901" t="s">
        <v>1471</v>
      </c>
    </row>
    <row r="3902" spans="4:4" x14ac:dyDescent="0.45">
      <c r="D3902" t="s">
        <v>133</v>
      </c>
    </row>
    <row r="3903" spans="4:4" x14ac:dyDescent="0.45">
      <c r="D3903" t="s">
        <v>1472</v>
      </c>
    </row>
    <row r="3904" spans="4:4" x14ac:dyDescent="0.45">
      <c r="D3904" t="s">
        <v>127</v>
      </c>
    </row>
    <row r="3905" spans="4:4" x14ac:dyDescent="0.45">
      <c r="D3905" t="s">
        <v>84</v>
      </c>
    </row>
    <row r="3906" spans="4:4" x14ac:dyDescent="0.45">
      <c r="D3906" t="s">
        <v>85</v>
      </c>
    </row>
    <row r="3907" spans="4:4" x14ac:dyDescent="0.45">
      <c r="D3907" t="s">
        <v>1473</v>
      </c>
    </row>
    <row r="3908" spans="4:4" x14ac:dyDescent="0.45">
      <c r="D3908" t="s">
        <v>87</v>
      </c>
    </row>
    <row r="3909" spans="4:4" x14ac:dyDescent="0.45">
      <c r="D3909" t="s">
        <v>1196</v>
      </c>
    </row>
    <row r="3910" spans="4:4" x14ac:dyDescent="0.45">
      <c r="D3910" t="s">
        <v>1197</v>
      </c>
    </row>
    <row r="3911" spans="4:4" x14ac:dyDescent="0.45">
      <c r="D3911" t="s">
        <v>1198</v>
      </c>
    </row>
    <row r="3912" spans="4:4" x14ac:dyDescent="0.45">
      <c r="D3912" t="s">
        <v>1424</v>
      </c>
    </row>
    <row r="3913" spans="4:4" x14ac:dyDescent="0.45">
      <c r="D3913" t="s">
        <v>1200</v>
      </c>
    </row>
    <row r="3914" spans="4:4" x14ac:dyDescent="0.45">
      <c r="D3914" t="s">
        <v>88</v>
      </c>
    </row>
    <row r="3915" spans="4:4" x14ac:dyDescent="0.45">
      <c r="D3915" t="s">
        <v>66</v>
      </c>
    </row>
    <row r="3916" spans="4:4" x14ac:dyDescent="0.45">
      <c r="D3916" t="s">
        <v>1474</v>
      </c>
    </row>
    <row r="3917" spans="4:4" x14ac:dyDescent="0.45">
      <c r="D3917" t="s">
        <v>1475</v>
      </c>
    </row>
    <row r="3918" spans="4:4" x14ac:dyDescent="0.45">
      <c r="D3918" t="s">
        <v>69</v>
      </c>
    </row>
    <row r="3919" spans="4:4" x14ac:dyDescent="0.45">
      <c r="D3919" t="s">
        <v>1476</v>
      </c>
    </row>
    <row r="3920" spans="4:4" x14ac:dyDescent="0.45">
      <c r="D3920" t="s">
        <v>1477</v>
      </c>
    </row>
    <row r="3921" spans="4:4" x14ac:dyDescent="0.45">
      <c r="D3921" t="s">
        <v>133</v>
      </c>
    </row>
    <row r="3922" spans="4:4" x14ac:dyDescent="0.45">
      <c r="D3922" t="s">
        <v>1478</v>
      </c>
    </row>
    <row r="3923" spans="4:4" x14ac:dyDescent="0.45">
      <c r="D3923" t="s">
        <v>127</v>
      </c>
    </row>
    <row r="3924" spans="4:4" x14ac:dyDescent="0.45">
      <c r="D3924" t="s">
        <v>84</v>
      </c>
    </row>
    <row r="3925" spans="4:4" x14ac:dyDescent="0.45">
      <c r="D3925" t="s">
        <v>85</v>
      </c>
    </row>
    <row r="3926" spans="4:4" x14ac:dyDescent="0.45">
      <c r="D3926" t="s">
        <v>1479</v>
      </c>
    </row>
    <row r="3927" spans="4:4" x14ac:dyDescent="0.45">
      <c r="D3927" t="s">
        <v>87</v>
      </c>
    </row>
    <row r="3928" spans="4:4" x14ac:dyDescent="0.45">
      <c r="D3928" t="s">
        <v>1196</v>
      </c>
    </row>
    <row r="3929" spans="4:4" x14ac:dyDescent="0.45">
      <c r="D3929" t="s">
        <v>1197</v>
      </c>
    </row>
    <row r="3930" spans="4:4" x14ac:dyDescent="0.45">
      <c r="D3930" t="s">
        <v>1198</v>
      </c>
    </row>
    <row r="3931" spans="4:4" x14ac:dyDescent="0.45">
      <c r="D3931" t="s">
        <v>1424</v>
      </c>
    </row>
    <row r="3932" spans="4:4" x14ac:dyDescent="0.45">
      <c r="D3932" t="s">
        <v>1200</v>
      </c>
    </row>
    <row r="3933" spans="4:4" x14ac:dyDescent="0.45">
      <c r="D3933" t="s">
        <v>88</v>
      </c>
    </row>
    <row r="3934" spans="4:4" x14ac:dyDescent="0.45">
      <c r="D3934" t="s">
        <v>66</v>
      </c>
    </row>
    <row r="3935" spans="4:4" x14ac:dyDescent="0.45">
      <c r="D3935" t="s">
        <v>1480</v>
      </c>
    </row>
    <row r="3936" spans="4:4" x14ac:dyDescent="0.45">
      <c r="D3936" t="s">
        <v>1481</v>
      </c>
    </row>
    <row r="3937" spans="4:4" x14ac:dyDescent="0.45">
      <c r="D3937" t="s">
        <v>1482</v>
      </c>
    </row>
    <row r="3938" spans="4:4" x14ac:dyDescent="0.45">
      <c r="D3938" t="s">
        <v>69</v>
      </c>
    </row>
    <row r="3939" spans="4:4" x14ac:dyDescent="0.45">
      <c r="D3939" t="s">
        <v>1483</v>
      </c>
    </row>
    <row r="3940" spans="4:4" x14ac:dyDescent="0.45">
      <c r="D3940" t="s">
        <v>1484</v>
      </c>
    </row>
    <row r="3941" spans="4:4" x14ac:dyDescent="0.45">
      <c r="D3941" t="s">
        <v>133</v>
      </c>
    </row>
    <row r="3942" spans="4:4" x14ac:dyDescent="0.45">
      <c r="D3942" t="s">
        <v>1485</v>
      </c>
    </row>
    <row r="3943" spans="4:4" x14ac:dyDescent="0.45">
      <c r="D3943" t="s">
        <v>127</v>
      </c>
    </row>
    <row r="3944" spans="4:4" x14ac:dyDescent="0.45">
      <c r="D3944" t="s">
        <v>139</v>
      </c>
    </row>
    <row r="3945" spans="4:4" x14ac:dyDescent="0.45">
      <c r="D3945" t="s">
        <v>85</v>
      </c>
    </row>
    <row r="3946" spans="4:4" x14ac:dyDescent="0.45">
      <c r="D3946" t="s">
        <v>1486</v>
      </c>
    </row>
    <row r="3947" spans="4:4" x14ac:dyDescent="0.45">
      <c r="D3947" t="s">
        <v>101</v>
      </c>
    </row>
    <row r="3948" spans="4:4" x14ac:dyDescent="0.45">
      <c r="D3948" t="s">
        <v>1196</v>
      </c>
    </row>
    <row r="3949" spans="4:4" x14ac:dyDescent="0.45">
      <c r="D3949" t="s">
        <v>1197</v>
      </c>
    </row>
    <row r="3950" spans="4:4" x14ac:dyDescent="0.45">
      <c r="D3950" t="s">
        <v>1198</v>
      </c>
    </row>
    <row r="3951" spans="4:4" x14ac:dyDescent="0.45">
      <c r="D3951" t="s">
        <v>1199</v>
      </c>
    </row>
    <row r="3952" spans="4:4" x14ac:dyDescent="0.45">
      <c r="D3952" t="s">
        <v>1200</v>
      </c>
    </row>
    <row r="3953" spans="4:4" x14ac:dyDescent="0.45">
      <c r="D3953" t="s">
        <v>88</v>
      </c>
    </row>
    <row r="3954" spans="4:4" x14ac:dyDescent="0.45">
      <c r="D3954" t="s">
        <v>66</v>
      </c>
    </row>
    <row r="3955" spans="4:4" x14ac:dyDescent="0.45">
      <c r="D3955" t="s">
        <v>1487</v>
      </c>
    </row>
    <row r="3956" spans="4:4" x14ac:dyDescent="0.45">
      <c r="D3956" t="s">
        <v>1488</v>
      </c>
    </row>
    <row r="3957" spans="4:4" x14ac:dyDescent="0.45">
      <c r="D3957" t="s">
        <v>69</v>
      </c>
    </row>
    <row r="3958" spans="4:4" x14ac:dyDescent="0.45">
      <c r="D3958" t="s">
        <v>91</v>
      </c>
    </row>
    <row r="3959" spans="4:4" x14ac:dyDescent="0.45">
      <c r="D3959" t="s">
        <v>92</v>
      </c>
    </row>
    <row r="3960" spans="4:4" x14ac:dyDescent="0.45">
      <c r="D3960" t="s">
        <v>1489</v>
      </c>
    </row>
    <row r="3961" spans="4:4" x14ac:dyDescent="0.45">
      <c r="D3961" t="s">
        <v>76</v>
      </c>
    </row>
    <row r="3962" spans="4:4" x14ac:dyDescent="0.45">
      <c r="D3962" t="s">
        <v>77</v>
      </c>
    </row>
    <row r="3963" spans="4:4" x14ac:dyDescent="0.45">
      <c r="D3963" t="s">
        <v>94</v>
      </c>
    </row>
    <row r="3964" spans="4:4" x14ac:dyDescent="0.45">
      <c r="D3964" t="s">
        <v>1490</v>
      </c>
    </row>
    <row r="3965" spans="4:4" x14ac:dyDescent="0.45">
      <c r="D3965" t="s">
        <v>1491</v>
      </c>
    </row>
    <row r="3966" spans="4:4" x14ac:dyDescent="0.45">
      <c r="D3966" t="s">
        <v>1492</v>
      </c>
    </row>
    <row r="3967" spans="4:4" x14ac:dyDescent="0.45">
      <c r="D3967" t="s">
        <v>1493</v>
      </c>
    </row>
    <row r="3968" spans="4:4" x14ac:dyDescent="0.45">
      <c r="D3968" t="s">
        <v>1494</v>
      </c>
    </row>
    <row r="3969" spans="4:4" x14ac:dyDescent="0.45">
      <c r="D3969" t="s">
        <v>84</v>
      </c>
    </row>
    <row r="3970" spans="4:4" x14ac:dyDescent="0.45">
      <c r="D3970" t="s">
        <v>85</v>
      </c>
    </row>
    <row r="3971" spans="4:4" x14ac:dyDescent="0.45">
      <c r="D3971" t="s">
        <v>1495</v>
      </c>
    </row>
    <row r="3972" spans="4:4" x14ac:dyDescent="0.45">
      <c r="D3972" t="s">
        <v>101</v>
      </c>
    </row>
    <row r="3973" spans="4:4" x14ac:dyDescent="0.45">
      <c r="D3973" t="s">
        <v>88</v>
      </c>
    </row>
    <row r="3974" spans="4:4" x14ac:dyDescent="0.45">
      <c r="D3974" t="s">
        <v>66</v>
      </c>
    </row>
    <row r="3975" spans="4:4" x14ac:dyDescent="0.45">
      <c r="D3975" t="s">
        <v>1496</v>
      </c>
    </row>
    <row r="3976" spans="4:4" x14ac:dyDescent="0.45">
      <c r="D3976" t="s">
        <v>1497</v>
      </c>
    </row>
    <row r="3977" spans="4:4" x14ac:dyDescent="0.45">
      <c r="D3977" t="s">
        <v>69</v>
      </c>
    </row>
    <row r="3978" spans="4:4" x14ac:dyDescent="0.45">
      <c r="D3978" t="s">
        <v>91</v>
      </c>
    </row>
    <row r="3979" spans="4:4" x14ac:dyDescent="0.45">
      <c r="D3979" t="s">
        <v>92</v>
      </c>
    </row>
    <row r="3980" spans="4:4" x14ac:dyDescent="0.45">
      <c r="D3980" t="s">
        <v>1498</v>
      </c>
    </row>
    <row r="3981" spans="4:4" x14ac:dyDescent="0.45">
      <c r="D3981" t="s">
        <v>76</v>
      </c>
    </row>
    <row r="3982" spans="4:4" x14ac:dyDescent="0.45">
      <c r="D3982" t="s">
        <v>77</v>
      </c>
    </row>
    <row r="3983" spans="4:4" x14ac:dyDescent="0.45">
      <c r="D3983" t="s">
        <v>94</v>
      </c>
    </row>
    <row r="3984" spans="4:4" x14ac:dyDescent="0.45">
      <c r="D3984" t="s">
        <v>1499</v>
      </c>
    </row>
    <row r="3985" spans="4:4" x14ac:dyDescent="0.45">
      <c r="D3985" t="s">
        <v>1500</v>
      </c>
    </row>
    <row r="3986" spans="4:4" x14ac:dyDescent="0.45">
      <c r="D3986" t="s">
        <v>1501</v>
      </c>
    </row>
    <row r="3987" spans="4:4" x14ac:dyDescent="0.45">
      <c r="D3987" t="s">
        <v>1502</v>
      </c>
    </row>
    <row r="3988" spans="4:4" x14ac:dyDescent="0.45">
      <c r="D3988" t="s">
        <v>1503</v>
      </c>
    </row>
    <row r="3989" spans="4:4" x14ac:dyDescent="0.45">
      <c r="D3989" t="s">
        <v>1504</v>
      </c>
    </row>
    <row r="3990" spans="4:4" x14ac:dyDescent="0.45">
      <c r="D3990" t="s">
        <v>84</v>
      </c>
    </row>
    <row r="3991" spans="4:4" x14ac:dyDescent="0.45">
      <c r="D3991" t="s">
        <v>85</v>
      </c>
    </row>
    <row r="3992" spans="4:4" x14ac:dyDescent="0.45">
      <c r="D3992" t="s">
        <v>1505</v>
      </c>
    </row>
    <row r="3993" spans="4:4" x14ac:dyDescent="0.45">
      <c r="D3993" t="s">
        <v>101</v>
      </c>
    </row>
    <row r="3994" spans="4:4" x14ac:dyDescent="0.45">
      <c r="D3994" t="s">
        <v>88</v>
      </c>
    </row>
    <row r="3995" spans="4:4" x14ac:dyDescent="0.45">
      <c r="D3995" t="s">
        <v>66</v>
      </c>
    </row>
    <row r="3996" spans="4:4" x14ac:dyDescent="0.45">
      <c r="D3996" t="s">
        <v>1506</v>
      </c>
    </row>
    <row r="3997" spans="4:4" x14ac:dyDescent="0.45">
      <c r="D3997" t="s">
        <v>1507</v>
      </c>
    </row>
    <row r="3998" spans="4:4" x14ac:dyDescent="0.45">
      <c r="D3998" t="s">
        <v>1508</v>
      </c>
    </row>
    <row r="3999" spans="4:4" x14ac:dyDescent="0.45">
      <c r="D3999" t="s">
        <v>69</v>
      </c>
    </row>
    <row r="4000" spans="4:4" x14ac:dyDescent="0.45">
      <c r="D4000" t="s">
        <v>1509</v>
      </c>
    </row>
    <row r="4001" spans="4:4" x14ac:dyDescent="0.45">
      <c r="D4001" t="s">
        <v>1510</v>
      </c>
    </row>
    <row r="4002" spans="4:4" x14ac:dyDescent="0.45">
      <c r="D4002" t="s">
        <v>133</v>
      </c>
    </row>
    <row r="4003" spans="4:4" x14ac:dyDescent="0.45">
      <c r="D4003" t="s">
        <v>1511</v>
      </c>
    </row>
    <row r="4004" spans="4:4" x14ac:dyDescent="0.45">
      <c r="D4004" t="s">
        <v>127</v>
      </c>
    </row>
    <row r="4005" spans="4:4" x14ac:dyDescent="0.45">
      <c r="D4005" t="s">
        <v>139</v>
      </c>
    </row>
    <row r="4006" spans="4:4" x14ac:dyDescent="0.45">
      <c r="D4006" t="s">
        <v>85</v>
      </c>
    </row>
    <row r="4007" spans="4:4" x14ac:dyDescent="0.45">
      <c r="D4007" t="s">
        <v>1512</v>
      </c>
    </row>
    <row r="4008" spans="4:4" x14ac:dyDescent="0.45">
      <c r="D4008" t="s">
        <v>87</v>
      </c>
    </row>
    <row r="4009" spans="4:4" x14ac:dyDescent="0.45">
      <c r="D4009" t="s">
        <v>1196</v>
      </c>
    </row>
    <row r="4010" spans="4:4" x14ac:dyDescent="0.45">
      <c r="D4010" t="s">
        <v>1197</v>
      </c>
    </row>
    <row r="4011" spans="4:4" x14ac:dyDescent="0.45">
      <c r="D4011" t="s">
        <v>1198</v>
      </c>
    </row>
    <row r="4012" spans="4:4" x14ac:dyDescent="0.45">
      <c r="D4012" t="s">
        <v>1424</v>
      </c>
    </row>
    <row r="4013" spans="4:4" x14ac:dyDescent="0.45">
      <c r="D4013" t="s">
        <v>1200</v>
      </c>
    </row>
    <row r="4014" spans="4:4" x14ac:dyDescent="0.45">
      <c r="D4014" t="s">
        <v>88</v>
      </c>
    </row>
    <row r="4015" spans="4:4" x14ac:dyDescent="0.45">
      <c r="D4015" t="s">
        <v>66</v>
      </c>
    </row>
    <row r="4016" spans="4:4" x14ac:dyDescent="0.45">
      <c r="D4016" t="s">
        <v>1513</v>
      </c>
    </row>
    <row r="4017" spans="4:4" x14ac:dyDescent="0.45">
      <c r="D4017" t="s">
        <v>1514</v>
      </c>
    </row>
    <row r="4018" spans="4:4" x14ac:dyDescent="0.45">
      <c r="D4018" t="s">
        <v>69</v>
      </c>
    </row>
    <row r="4019" spans="4:4" x14ac:dyDescent="0.45">
      <c r="D4019" t="s">
        <v>91</v>
      </c>
    </row>
    <row r="4020" spans="4:4" x14ac:dyDescent="0.45">
      <c r="D4020" t="s">
        <v>92</v>
      </c>
    </row>
    <row r="4021" spans="4:4" x14ac:dyDescent="0.45">
      <c r="D4021" t="s">
        <v>1515</v>
      </c>
    </row>
    <row r="4022" spans="4:4" x14ac:dyDescent="0.45">
      <c r="D4022" t="s">
        <v>76</v>
      </c>
    </row>
    <row r="4023" spans="4:4" x14ac:dyDescent="0.45">
      <c r="D4023" t="s">
        <v>77</v>
      </c>
    </row>
    <row r="4024" spans="4:4" x14ac:dyDescent="0.45">
      <c r="D4024" t="s">
        <v>94</v>
      </c>
    </row>
    <row r="4025" spans="4:4" x14ac:dyDescent="0.45">
      <c r="D4025" t="s">
        <v>1516</v>
      </c>
    </row>
    <row r="4026" spans="4:4" x14ac:dyDescent="0.45">
      <c r="D4026" t="s">
        <v>1517</v>
      </c>
    </row>
    <row r="4027" spans="4:4" x14ac:dyDescent="0.45">
      <c r="D4027" t="s">
        <v>1518</v>
      </c>
    </row>
    <row r="4028" spans="4:4" x14ac:dyDescent="0.45">
      <c r="D4028" t="s">
        <v>1519</v>
      </c>
    </row>
    <row r="4029" spans="4:4" x14ac:dyDescent="0.45">
      <c r="D4029" t="s">
        <v>1520</v>
      </c>
    </row>
    <row r="4030" spans="4:4" x14ac:dyDescent="0.45">
      <c r="D4030" t="s">
        <v>1521</v>
      </c>
    </row>
    <row r="4031" spans="4:4" x14ac:dyDescent="0.45">
      <c r="D4031" t="s">
        <v>1522</v>
      </c>
    </row>
    <row r="4032" spans="4:4" x14ac:dyDescent="0.45">
      <c r="D4032" t="s">
        <v>84</v>
      </c>
    </row>
    <row r="4033" spans="4:4" x14ac:dyDescent="0.45">
      <c r="D4033" t="s">
        <v>85</v>
      </c>
    </row>
    <row r="4034" spans="4:4" x14ac:dyDescent="0.45">
      <c r="D4034" t="s">
        <v>1523</v>
      </c>
    </row>
    <row r="4035" spans="4:4" x14ac:dyDescent="0.45">
      <c r="D4035" t="s">
        <v>101</v>
      </c>
    </row>
    <row r="4036" spans="4:4" x14ac:dyDescent="0.45">
      <c r="D4036" t="s">
        <v>88</v>
      </c>
    </row>
    <row r="4037" spans="4:4" x14ac:dyDescent="0.45">
      <c r="D4037" t="s">
        <v>66</v>
      </c>
    </row>
    <row r="4038" spans="4:4" x14ac:dyDescent="0.45">
      <c r="D4038" t="s">
        <v>1524</v>
      </c>
    </row>
    <row r="4039" spans="4:4" x14ac:dyDescent="0.45">
      <c r="D4039" t="s">
        <v>1525</v>
      </c>
    </row>
    <row r="4040" spans="4:4" x14ac:dyDescent="0.45">
      <c r="D4040" t="s">
        <v>69</v>
      </c>
    </row>
    <row r="4041" spans="4:4" x14ac:dyDescent="0.45">
      <c r="D4041" t="s">
        <v>1526</v>
      </c>
    </row>
    <row r="4042" spans="4:4" x14ac:dyDescent="0.45">
      <c r="D4042" t="s">
        <v>1527</v>
      </c>
    </row>
    <row r="4043" spans="4:4" x14ac:dyDescent="0.45">
      <c r="D4043" t="s">
        <v>76</v>
      </c>
    </row>
    <row r="4044" spans="4:4" x14ac:dyDescent="0.45">
      <c r="D4044" t="s">
        <v>77</v>
      </c>
    </row>
    <row r="4045" spans="4:4" x14ac:dyDescent="0.45">
      <c r="D4045" t="s">
        <v>1528</v>
      </c>
    </row>
    <row r="4046" spans="4:4" x14ac:dyDescent="0.45">
      <c r="D4046" t="s">
        <v>1529</v>
      </c>
    </row>
    <row r="4047" spans="4:4" x14ac:dyDescent="0.45">
      <c r="D4047" t="s">
        <v>1530</v>
      </c>
    </row>
    <row r="4048" spans="4:4" x14ac:dyDescent="0.45">
      <c r="D4048" t="s">
        <v>1531</v>
      </c>
    </row>
    <row r="4049" spans="4:4" x14ac:dyDescent="0.45">
      <c r="D4049" t="s">
        <v>1532</v>
      </c>
    </row>
    <row r="4050" spans="4:4" x14ac:dyDescent="0.45">
      <c r="D4050" t="s">
        <v>1533</v>
      </c>
    </row>
    <row r="4051" spans="4:4" x14ac:dyDescent="0.45">
      <c r="D4051" t="s">
        <v>139</v>
      </c>
    </row>
    <row r="4052" spans="4:4" x14ac:dyDescent="0.45">
      <c r="D4052" t="s">
        <v>85</v>
      </c>
    </row>
    <row r="4053" spans="4:4" x14ac:dyDescent="0.45">
      <c r="D4053" t="s">
        <v>1534</v>
      </c>
    </row>
    <row r="4054" spans="4:4" x14ac:dyDescent="0.45">
      <c r="D4054" t="s">
        <v>87</v>
      </c>
    </row>
    <row r="4055" spans="4:4" x14ac:dyDescent="0.45">
      <c r="D4055" t="s">
        <v>88</v>
      </c>
    </row>
    <row r="4056" spans="4:4" x14ac:dyDescent="0.45">
      <c r="D4056" t="s">
        <v>66</v>
      </c>
    </row>
    <row r="4057" spans="4:4" x14ac:dyDescent="0.45">
      <c r="D4057" t="s">
        <v>1535</v>
      </c>
    </row>
    <row r="4058" spans="4:4" x14ac:dyDescent="0.45">
      <c r="D4058" t="s">
        <v>1536</v>
      </c>
    </row>
    <row r="4059" spans="4:4" x14ac:dyDescent="0.45">
      <c r="D4059" t="s">
        <v>69</v>
      </c>
    </row>
    <row r="4060" spans="4:4" x14ac:dyDescent="0.45">
      <c r="D4060" t="s">
        <v>91</v>
      </c>
    </row>
    <row r="4061" spans="4:4" x14ac:dyDescent="0.45">
      <c r="D4061" t="s">
        <v>92</v>
      </c>
    </row>
    <row r="4062" spans="4:4" x14ac:dyDescent="0.45">
      <c r="D4062" t="s">
        <v>1537</v>
      </c>
    </row>
    <row r="4063" spans="4:4" x14ac:dyDescent="0.45">
      <c r="D4063" t="s">
        <v>76</v>
      </c>
    </row>
    <row r="4064" spans="4:4" x14ac:dyDescent="0.45">
      <c r="D4064" t="s">
        <v>77</v>
      </c>
    </row>
    <row r="4065" spans="4:4" x14ac:dyDescent="0.45">
      <c r="D4065" t="s">
        <v>94</v>
      </c>
    </row>
    <row r="4066" spans="4:4" x14ac:dyDescent="0.45">
      <c r="D4066" t="s">
        <v>1538</v>
      </c>
    </row>
    <row r="4067" spans="4:4" x14ac:dyDescent="0.45">
      <c r="D4067" t="s">
        <v>1539</v>
      </c>
    </row>
    <row r="4068" spans="4:4" x14ac:dyDescent="0.45">
      <c r="D4068" t="s">
        <v>1540</v>
      </c>
    </row>
    <row r="4069" spans="4:4" x14ac:dyDescent="0.45">
      <c r="D4069" t="s">
        <v>1541</v>
      </c>
    </row>
    <row r="4070" spans="4:4" x14ac:dyDescent="0.45">
      <c r="D4070" t="s">
        <v>1542</v>
      </c>
    </row>
    <row r="4071" spans="4:4" x14ac:dyDescent="0.45">
      <c r="D4071" t="s">
        <v>1543</v>
      </c>
    </row>
    <row r="4072" spans="4:4" x14ac:dyDescent="0.45">
      <c r="D4072" t="s">
        <v>84</v>
      </c>
    </row>
    <row r="4073" spans="4:4" x14ac:dyDescent="0.45">
      <c r="D4073" t="s">
        <v>85</v>
      </c>
    </row>
    <row r="4074" spans="4:4" x14ac:dyDescent="0.45">
      <c r="D4074" t="s">
        <v>1544</v>
      </c>
    </row>
    <row r="4075" spans="4:4" x14ac:dyDescent="0.45">
      <c r="D4075" t="s">
        <v>101</v>
      </c>
    </row>
    <row r="4076" spans="4:4" x14ac:dyDescent="0.45">
      <c r="D4076" t="s">
        <v>1196</v>
      </c>
    </row>
    <row r="4077" spans="4:4" x14ac:dyDescent="0.45">
      <c r="D4077" t="s">
        <v>1197</v>
      </c>
    </row>
    <row r="4078" spans="4:4" x14ac:dyDescent="0.45">
      <c r="D4078" t="s">
        <v>1198</v>
      </c>
    </row>
    <row r="4079" spans="4:4" x14ac:dyDescent="0.45">
      <c r="D4079" t="s">
        <v>1199</v>
      </c>
    </row>
    <row r="4080" spans="4:4" x14ac:dyDescent="0.45">
      <c r="D4080" t="s">
        <v>1200</v>
      </c>
    </row>
    <row r="4081" spans="4:4" x14ac:dyDescent="0.45">
      <c r="D4081" t="s">
        <v>88</v>
      </c>
    </row>
    <row r="4082" spans="4:4" x14ac:dyDescent="0.45">
      <c r="D4082" t="s">
        <v>66</v>
      </c>
    </row>
    <row r="4083" spans="4:4" x14ac:dyDescent="0.45">
      <c r="D4083" t="s">
        <v>1545</v>
      </c>
    </row>
    <row r="4084" spans="4:4" x14ac:dyDescent="0.45">
      <c r="D4084" t="s">
        <v>1546</v>
      </c>
    </row>
    <row r="4085" spans="4:4" x14ac:dyDescent="0.45">
      <c r="D4085" t="s">
        <v>1547</v>
      </c>
    </row>
    <row r="4086" spans="4:4" x14ac:dyDescent="0.45">
      <c r="D4086" t="s">
        <v>1548</v>
      </c>
    </row>
    <row r="4087" spans="4:4" x14ac:dyDescent="0.45">
      <c r="D4087" t="s">
        <v>69</v>
      </c>
    </row>
    <row r="4088" spans="4:4" x14ac:dyDescent="0.45">
      <c r="D4088" t="s">
        <v>1549</v>
      </c>
    </row>
    <row r="4089" spans="4:4" x14ac:dyDescent="0.45">
      <c r="D4089" t="s">
        <v>1219</v>
      </c>
    </row>
    <row r="4090" spans="4:4" x14ac:dyDescent="0.45">
      <c r="D4090" t="s">
        <v>1550</v>
      </c>
    </row>
    <row r="4091" spans="4:4" x14ac:dyDescent="0.45">
      <c r="D4091" t="s">
        <v>1551</v>
      </c>
    </row>
    <row r="4092" spans="4:4" x14ac:dyDescent="0.45">
      <c r="D4092" t="s">
        <v>1552</v>
      </c>
    </row>
    <row r="4093" spans="4:4" x14ac:dyDescent="0.45">
      <c r="D4093" t="s">
        <v>1553</v>
      </c>
    </row>
    <row r="4094" spans="4:4" x14ac:dyDescent="0.45">
      <c r="D4094" t="s">
        <v>158</v>
      </c>
    </row>
    <row r="4095" spans="4:4" x14ac:dyDescent="0.45">
      <c r="D4095" t="s">
        <v>84</v>
      </c>
    </row>
    <row r="4096" spans="4:4" x14ac:dyDescent="0.45">
      <c r="D4096" t="s">
        <v>85</v>
      </c>
    </row>
    <row r="4097" spans="4:4" x14ac:dyDescent="0.45">
      <c r="D4097" t="s">
        <v>1554</v>
      </c>
    </row>
    <row r="4098" spans="4:4" x14ac:dyDescent="0.45">
      <c r="D4098" t="s">
        <v>87</v>
      </c>
    </row>
    <row r="4099" spans="4:4" x14ac:dyDescent="0.45">
      <c r="D4099" t="s">
        <v>88</v>
      </c>
    </row>
    <row r="4100" spans="4:4" x14ac:dyDescent="0.45">
      <c r="D4100" t="s">
        <v>66</v>
      </c>
    </row>
    <row r="4101" spans="4:4" x14ac:dyDescent="0.45">
      <c r="D4101" t="s">
        <v>1555</v>
      </c>
    </row>
    <row r="4102" spans="4:4" x14ac:dyDescent="0.45">
      <c r="D4102" t="s">
        <v>1556</v>
      </c>
    </row>
    <row r="4103" spans="4:4" x14ac:dyDescent="0.45">
      <c r="D4103" t="s">
        <v>1557</v>
      </c>
    </row>
    <row r="4104" spans="4:4" x14ac:dyDescent="0.45">
      <c r="D4104" t="s">
        <v>1558</v>
      </c>
    </row>
    <row r="4105" spans="4:4" x14ac:dyDescent="0.45">
      <c r="D4105" t="s">
        <v>69</v>
      </c>
    </row>
    <row r="4106" spans="4:4" x14ac:dyDescent="0.45">
      <c r="D4106" t="s">
        <v>1559</v>
      </c>
    </row>
    <row r="4107" spans="4:4" x14ac:dyDescent="0.45">
      <c r="D4107" t="s">
        <v>1219</v>
      </c>
    </row>
    <row r="4108" spans="4:4" x14ac:dyDescent="0.45">
      <c r="D4108" t="s">
        <v>1560</v>
      </c>
    </row>
    <row r="4109" spans="4:4" x14ac:dyDescent="0.45">
      <c r="D4109" t="s">
        <v>1561</v>
      </c>
    </row>
    <row r="4110" spans="4:4" x14ac:dyDescent="0.45">
      <c r="D4110" t="s">
        <v>1562</v>
      </c>
    </row>
    <row r="4111" spans="4:4" x14ac:dyDescent="0.45">
      <c r="D4111" t="s">
        <v>1553</v>
      </c>
    </row>
    <row r="4112" spans="4:4" x14ac:dyDescent="0.45">
      <c r="D4112" t="s">
        <v>1563</v>
      </c>
    </row>
    <row r="4113" spans="4:4" x14ac:dyDescent="0.45">
      <c r="D4113" t="s">
        <v>84</v>
      </c>
    </row>
    <row r="4114" spans="4:4" x14ac:dyDescent="0.45">
      <c r="D4114" t="s">
        <v>85</v>
      </c>
    </row>
    <row r="4115" spans="4:4" x14ac:dyDescent="0.45">
      <c r="D4115" t="s">
        <v>1564</v>
      </c>
    </row>
    <row r="4116" spans="4:4" x14ac:dyDescent="0.45">
      <c r="D4116" t="s">
        <v>87</v>
      </c>
    </row>
    <row r="4117" spans="4:4" x14ac:dyDescent="0.45">
      <c r="D4117" t="s">
        <v>88</v>
      </c>
    </row>
    <row r="4118" spans="4:4" x14ac:dyDescent="0.45">
      <c r="D4118" t="s">
        <v>66</v>
      </c>
    </row>
    <row r="4119" spans="4:4" x14ac:dyDescent="0.45">
      <c r="D4119" t="s">
        <v>1565</v>
      </c>
    </row>
    <row r="4120" spans="4:4" x14ac:dyDescent="0.45">
      <c r="D4120" t="s">
        <v>1566</v>
      </c>
    </row>
    <row r="4121" spans="4:4" x14ac:dyDescent="0.45">
      <c r="D4121" t="s">
        <v>1567</v>
      </c>
    </row>
    <row r="4122" spans="4:4" x14ac:dyDescent="0.45">
      <c r="D4122" t="s">
        <v>1568</v>
      </c>
    </row>
    <row r="4123" spans="4:4" x14ac:dyDescent="0.45">
      <c r="D4123" t="s">
        <v>69</v>
      </c>
    </row>
    <row r="4124" spans="4:4" x14ac:dyDescent="0.45">
      <c r="D4124" t="s">
        <v>1569</v>
      </c>
    </row>
    <row r="4125" spans="4:4" x14ac:dyDescent="0.45">
      <c r="D4125" t="s">
        <v>1219</v>
      </c>
    </row>
    <row r="4126" spans="4:4" x14ac:dyDescent="0.45">
      <c r="D4126" t="s">
        <v>1570</v>
      </c>
    </row>
    <row r="4127" spans="4:4" x14ac:dyDescent="0.45">
      <c r="D4127" t="s">
        <v>1571</v>
      </c>
    </row>
    <row r="4128" spans="4:4" x14ac:dyDescent="0.45">
      <c r="D4128" t="s">
        <v>1572</v>
      </c>
    </row>
    <row r="4129" spans="4:4" x14ac:dyDescent="0.45">
      <c r="D4129" t="s">
        <v>1553</v>
      </c>
    </row>
    <row r="4130" spans="4:4" x14ac:dyDescent="0.45">
      <c r="D4130" t="s">
        <v>1573</v>
      </c>
    </row>
    <row r="4131" spans="4:4" x14ac:dyDescent="0.45">
      <c r="D4131" t="s">
        <v>84</v>
      </c>
    </row>
    <row r="4132" spans="4:4" x14ac:dyDescent="0.45">
      <c r="D4132" t="s">
        <v>85</v>
      </c>
    </row>
    <row r="4133" spans="4:4" x14ac:dyDescent="0.45">
      <c r="D4133" t="s">
        <v>1574</v>
      </c>
    </row>
    <row r="4134" spans="4:4" x14ac:dyDescent="0.45">
      <c r="D4134" t="s">
        <v>87</v>
      </c>
    </row>
    <row r="4135" spans="4:4" x14ac:dyDescent="0.45">
      <c r="D4135" t="s">
        <v>88</v>
      </c>
    </row>
    <row r="4136" spans="4:4" x14ac:dyDescent="0.45">
      <c r="D4136" t="s">
        <v>66</v>
      </c>
    </row>
    <row r="4137" spans="4:4" x14ac:dyDescent="0.45">
      <c r="D4137" t="s">
        <v>1575</v>
      </c>
    </row>
    <row r="4138" spans="4:4" x14ac:dyDescent="0.45">
      <c r="D4138" t="s">
        <v>1576</v>
      </c>
    </row>
    <row r="4139" spans="4:4" x14ac:dyDescent="0.45">
      <c r="D4139" t="s">
        <v>1577</v>
      </c>
    </row>
    <row r="4140" spans="4:4" x14ac:dyDescent="0.45">
      <c r="D4140" t="s">
        <v>1578</v>
      </c>
    </row>
    <row r="4141" spans="4:4" x14ac:dyDescent="0.45">
      <c r="D4141" t="s">
        <v>69</v>
      </c>
    </row>
    <row r="4142" spans="4:4" x14ac:dyDescent="0.45">
      <c r="D4142" t="s">
        <v>1579</v>
      </c>
    </row>
    <row r="4143" spans="4:4" x14ac:dyDescent="0.45">
      <c r="D4143" t="s">
        <v>1219</v>
      </c>
    </row>
    <row r="4144" spans="4:4" x14ac:dyDescent="0.45">
      <c r="D4144" t="s">
        <v>1580</v>
      </c>
    </row>
    <row r="4145" spans="4:4" x14ac:dyDescent="0.45">
      <c r="D4145" t="s">
        <v>1581</v>
      </c>
    </row>
    <row r="4146" spans="4:4" x14ac:dyDescent="0.45">
      <c r="D4146" t="s">
        <v>1582</v>
      </c>
    </row>
    <row r="4147" spans="4:4" x14ac:dyDescent="0.45">
      <c r="D4147" t="s">
        <v>1583</v>
      </c>
    </row>
    <row r="4148" spans="4:4" x14ac:dyDescent="0.45">
      <c r="D4148" t="s">
        <v>1553</v>
      </c>
    </row>
    <row r="4149" spans="4:4" x14ac:dyDescent="0.45">
      <c r="D4149" t="s">
        <v>1584</v>
      </c>
    </row>
    <row r="4150" spans="4:4" x14ac:dyDescent="0.45">
      <c r="D4150" t="s">
        <v>84</v>
      </c>
    </row>
    <row r="4151" spans="4:4" x14ac:dyDescent="0.45">
      <c r="D4151" t="s">
        <v>85</v>
      </c>
    </row>
    <row r="4152" spans="4:4" x14ac:dyDescent="0.45">
      <c r="D4152" t="s">
        <v>1585</v>
      </c>
    </row>
    <row r="4153" spans="4:4" x14ac:dyDescent="0.45">
      <c r="D4153" t="s">
        <v>87</v>
      </c>
    </row>
    <row r="4154" spans="4:4" x14ac:dyDescent="0.45">
      <c r="D4154" t="s">
        <v>88</v>
      </c>
    </row>
    <row r="4155" spans="4:4" x14ac:dyDescent="0.45">
      <c r="D4155" t="s">
        <v>66</v>
      </c>
    </row>
    <row r="4156" spans="4:4" x14ac:dyDescent="0.45">
      <c r="D4156" t="s">
        <v>1545</v>
      </c>
    </row>
    <row r="4157" spans="4:4" x14ac:dyDescent="0.45">
      <c r="D4157" t="s">
        <v>1546</v>
      </c>
    </row>
    <row r="4158" spans="4:4" x14ac:dyDescent="0.45">
      <c r="D4158" t="s">
        <v>1547</v>
      </c>
    </row>
    <row r="4159" spans="4:4" x14ac:dyDescent="0.45">
      <c r="D4159" t="s">
        <v>1586</v>
      </c>
    </row>
    <row r="4160" spans="4:4" x14ac:dyDescent="0.45">
      <c r="D4160" t="s">
        <v>69</v>
      </c>
    </row>
    <row r="4161" spans="4:4" x14ac:dyDescent="0.45">
      <c r="D4161" t="s">
        <v>1587</v>
      </c>
    </row>
    <row r="4162" spans="4:4" x14ac:dyDescent="0.45">
      <c r="D4162" t="s">
        <v>1219</v>
      </c>
    </row>
    <row r="4163" spans="4:4" x14ac:dyDescent="0.45">
      <c r="D4163" t="s">
        <v>1588</v>
      </c>
    </row>
    <row r="4164" spans="4:4" x14ac:dyDescent="0.45">
      <c r="D4164" t="s">
        <v>1589</v>
      </c>
    </row>
    <row r="4165" spans="4:4" x14ac:dyDescent="0.45">
      <c r="D4165" t="s">
        <v>1590</v>
      </c>
    </row>
    <row r="4166" spans="4:4" x14ac:dyDescent="0.45">
      <c r="D4166" t="s">
        <v>1553</v>
      </c>
    </row>
    <row r="4167" spans="4:4" x14ac:dyDescent="0.45">
      <c r="D4167" t="s">
        <v>1563</v>
      </c>
    </row>
    <row r="4168" spans="4:4" x14ac:dyDescent="0.45">
      <c r="D4168" t="s">
        <v>84</v>
      </c>
    </row>
    <row r="4169" spans="4:4" x14ac:dyDescent="0.45">
      <c r="D4169" t="s">
        <v>85</v>
      </c>
    </row>
    <row r="4170" spans="4:4" x14ac:dyDescent="0.45">
      <c r="D4170" t="s">
        <v>1591</v>
      </c>
    </row>
    <row r="4171" spans="4:4" x14ac:dyDescent="0.45">
      <c r="D4171" t="s">
        <v>87</v>
      </c>
    </row>
    <row r="4172" spans="4:4" x14ac:dyDescent="0.45">
      <c r="D4172" t="s">
        <v>88</v>
      </c>
    </row>
    <row r="4173" spans="4:4" x14ac:dyDescent="0.45">
      <c r="D4173" t="s">
        <v>66</v>
      </c>
    </row>
    <row r="4174" spans="4:4" x14ac:dyDescent="0.45">
      <c r="D4174" t="s">
        <v>1592</v>
      </c>
    </row>
    <row r="4175" spans="4:4" x14ac:dyDescent="0.45">
      <c r="D4175" t="s">
        <v>1566</v>
      </c>
    </row>
    <row r="4176" spans="4:4" x14ac:dyDescent="0.45">
      <c r="D4176" t="s">
        <v>1593</v>
      </c>
    </row>
    <row r="4177" spans="4:4" x14ac:dyDescent="0.45">
      <c r="D4177" t="s">
        <v>1594</v>
      </c>
    </row>
    <row r="4178" spans="4:4" x14ac:dyDescent="0.45">
      <c r="D4178" t="s">
        <v>69</v>
      </c>
    </row>
    <row r="4179" spans="4:4" x14ac:dyDescent="0.45">
      <c r="D4179" t="s">
        <v>1595</v>
      </c>
    </row>
    <row r="4180" spans="4:4" x14ac:dyDescent="0.45">
      <c r="D4180" t="s">
        <v>1219</v>
      </c>
    </row>
    <row r="4181" spans="4:4" x14ac:dyDescent="0.45">
      <c r="D4181" t="s">
        <v>1596</v>
      </c>
    </row>
    <row r="4182" spans="4:4" x14ac:dyDescent="0.45">
      <c r="D4182" t="s">
        <v>1597</v>
      </c>
    </row>
    <row r="4183" spans="4:4" x14ac:dyDescent="0.45">
      <c r="D4183" t="s">
        <v>1598</v>
      </c>
    </row>
    <row r="4184" spans="4:4" x14ac:dyDescent="0.45">
      <c r="D4184" t="s">
        <v>1553</v>
      </c>
    </row>
    <row r="4185" spans="4:4" x14ac:dyDescent="0.45">
      <c r="D4185" t="s">
        <v>1563</v>
      </c>
    </row>
    <row r="4186" spans="4:4" x14ac:dyDescent="0.45">
      <c r="D4186" t="s">
        <v>84</v>
      </c>
    </row>
    <row r="4187" spans="4:4" x14ac:dyDescent="0.45">
      <c r="D4187" t="s">
        <v>85</v>
      </c>
    </row>
    <row r="4188" spans="4:4" x14ac:dyDescent="0.45">
      <c r="D4188" t="s">
        <v>1599</v>
      </c>
    </row>
    <row r="4189" spans="4:4" x14ac:dyDescent="0.45">
      <c r="D4189" t="s">
        <v>87</v>
      </c>
    </row>
    <row r="4190" spans="4:4" x14ac:dyDescent="0.45">
      <c r="D4190" t="s">
        <v>88</v>
      </c>
    </row>
    <row r="4191" spans="4:4" x14ac:dyDescent="0.45">
      <c r="D4191" t="s">
        <v>66</v>
      </c>
    </row>
    <row r="4192" spans="4:4" x14ac:dyDescent="0.45">
      <c r="D4192" t="s">
        <v>1555</v>
      </c>
    </row>
    <row r="4193" spans="4:4" x14ac:dyDescent="0.45">
      <c r="D4193" t="s">
        <v>1600</v>
      </c>
    </row>
    <row r="4194" spans="4:4" x14ac:dyDescent="0.45">
      <c r="D4194" t="s">
        <v>1557</v>
      </c>
    </row>
    <row r="4195" spans="4:4" x14ac:dyDescent="0.45">
      <c r="D4195" t="s">
        <v>1601</v>
      </c>
    </row>
    <row r="4196" spans="4:4" x14ac:dyDescent="0.45">
      <c r="D4196" t="s">
        <v>69</v>
      </c>
    </row>
    <row r="4197" spans="4:4" x14ac:dyDescent="0.45">
      <c r="D4197" t="s">
        <v>1602</v>
      </c>
    </row>
    <row r="4198" spans="4:4" x14ac:dyDescent="0.45">
      <c r="D4198" t="s">
        <v>1219</v>
      </c>
    </row>
    <row r="4199" spans="4:4" x14ac:dyDescent="0.45">
      <c r="D4199" t="s">
        <v>1603</v>
      </c>
    </row>
    <row r="4200" spans="4:4" x14ac:dyDescent="0.45">
      <c r="D4200" t="s">
        <v>1604</v>
      </c>
    </row>
    <row r="4201" spans="4:4" x14ac:dyDescent="0.45">
      <c r="D4201" t="s">
        <v>1605</v>
      </c>
    </row>
    <row r="4202" spans="4:4" x14ac:dyDescent="0.45">
      <c r="D4202" t="s">
        <v>1553</v>
      </c>
    </row>
    <row r="4203" spans="4:4" x14ac:dyDescent="0.45">
      <c r="D4203" t="s">
        <v>1573</v>
      </c>
    </row>
    <row r="4204" spans="4:4" x14ac:dyDescent="0.45">
      <c r="D4204" t="s">
        <v>84</v>
      </c>
    </row>
    <row r="4205" spans="4:4" x14ac:dyDescent="0.45">
      <c r="D4205" t="s">
        <v>85</v>
      </c>
    </row>
    <row r="4206" spans="4:4" x14ac:dyDescent="0.45">
      <c r="D4206" t="s">
        <v>1606</v>
      </c>
    </row>
    <row r="4207" spans="4:4" x14ac:dyDescent="0.45">
      <c r="D4207" t="s">
        <v>87</v>
      </c>
    </row>
    <row r="4208" spans="4:4" x14ac:dyDescent="0.45">
      <c r="D4208" t="s">
        <v>88</v>
      </c>
    </row>
    <row r="4209" spans="4:4" x14ac:dyDescent="0.45">
      <c r="D4209" t="s">
        <v>66</v>
      </c>
    </row>
    <row r="4210" spans="4:4" x14ac:dyDescent="0.45">
      <c r="D4210" t="s">
        <v>1575</v>
      </c>
    </row>
    <row r="4211" spans="4:4" x14ac:dyDescent="0.45">
      <c r="D4211" t="s">
        <v>1576</v>
      </c>
    </row>
    <row r="4212" spans="4:4" x14ac:dyDescent="0.45">
      <c r="D4212" t="s">
        <v>1577</v>
      </c>
    </row>
    <row r="4213" spans="4:4" x14ac:dyDescent="0.45">
      <c r="D4213" t="s">
        <v>1607</v>
      </c>
    </row>
    <row r="4214" spans="4:4" x14ac:dyDescent="0.45">
      <c r="D4214" t="s">
        <v>69</v>
      </c>
    </row>
    <row r="4215" spans="4:4" x14ac:dyDescent="0.45">
      <c r="D4215" t="s">
        <v>1608</v>
      </c>
    </row>
    <row r="4216" spans="4:4" x14ac:dyDescent="0.45">
      <c r="D4216" t="s">
        <v>1219</v>
      </c>
    </row>
    <row r="4217" spans="4:4" x14ac:dyDescent="0.45">
      <c r="D4217" t="s">
        <v>1609</v>
      </c>
    </row>
    <row r="4218" spans="4:4" x14ac:dyDescent="0.45">
      <c r="D4218" t="s">
        <v>1610</v>
      </c>
    </row>
    <row r="4219" spans="4:4" x14ac:dyDescent="0.45">
      <c r="D4219" t="s">
        <v>1611</v>
      </c>
    </row>
    <row r="4220" spans="4:4" x14ac:dyDescent="0.45">
      <c r="D4220" t="s">
        <v>1553</v>
      </c>
    </row>
    <row r="4221" spans="4:4" x14ac:dyDescent="0.45">
      <c r="D4221" t="s">
        <v>309</v>
      </c>
    </row>
    <row r="4222" spans="4:4" x14ac:dyDescent="0.45">
      <c r="D4222" t="s">
        <v>84</v>
      </c>
    </row>
    <row r="4223" spans="4:4" x14ac:dyDescent="0.45">
      <c r="D4223" t="s">
        <v>85</v>
      </c>
    </row>
    <row r="4224" spans="4:4" x14ac:dyDescent="0.45">
      <c r="D4224" t="s">
        <v>1612</v>
      </c>
    </row>
    <row r="4225" spans="4:4" x14ac:dyDescent="0.45">
      <c r="D4225" t="s">
        <v>87</v>
      </c>
    </row>
    <row r="4226" spans="4:4" x14ac:dyDescent="0.45">
      <c r="D4226" t="s">
        <v>88</v>
      </c>
    </row>
    <row r="4227" spans="4:4" x14ac:dyDescent="0.45">
      <c r="D4227" t="s">
        <v>66</v>
      </c>
    </row>
    <row r="4228" spans="4:4" x14ac:dyDescent="0.45">
      <c r="D4228" t="s">
        <v>1613</v>
      </c>
    </row>
    <row r="4229" spans="4:4" x14ac:dyDescent="0.45">
      <c r="D4229" t="s">
        <v>1576</v>
      </c>
    </row>
    <row r="4230" spans="4:4" x14ac:dyDescent="0.45">
      <c r="D4230" t="s">
        <v>1614</v>
      </c>
    </row>
    <row r="4231" spans="4:4" x14ac:dyDescent="0.45">
      <c r="D4231" t="s">
        <v>1615</v>
      </c>
    </row>
    <row r="4232" spans="4:4" x14ac:dyDescent="0.45">
      <c r="D4232" t="s">
        <v>69</v>
      </c>
    </row>
    <row r="4233" spans="4:4" x14ac:dyDescent="0.45">
      <c r="D4233" t="s">
        <v>1616</v>
      </c>
    </row>
    <row r="4234" spans="4:4" x14ac:dyDescent="0.45">
      <c r="D4234" t="s">
        <v>1219</v>
      </c>
    </row>
    <row r="4235" spans="4:4" x14ac:dyDescent="0.45">
      <c r="D4235" t="s">
        <v>1617</v>
      </c>
    </row>
    <row r="4236" spans="4:4" x14ac:dyDescent="0.45">
      <c r="D4236" t="s">
        <v>1618</v>
      </c>
    </row>
    <row r="4237" spans="4:4" x14ac:dyDescent="0.45">
      <c r="D4237" t="s">
        <v>1619</v>
      </c>
    </row>
    <row r="4238" spans="4:4" x14ac:dyDescent="0.45">
      <c r="D4238" t="s">
        <v>1620</v>
      </c>
    </row>
    <row r="4239" spans="4:4" x14ac:dyDescent="0.45">
      <c r="D4239" t="s">
        <v>1553</v>
      </c>
    </row>
    <row r="4240" spans="4:4" x14ac:dyDescent="0.45">
      <c r="D4240" t="s">
        <v>201</v>
      </c>
    </row>
    <row r="4241" spans="4:4" x14ac:dyDescent="0.45">
      <c r="D4241" t="s">
        <v>84</v>
      </c>
    </row>
    <row r="4242" spans="4:4" x14ac:dyDescent="0.45">
      <c r="D4242" t="s">
        <v>85</v>
      </c>
    </row>
    <row r="4243" spans="4:4" x14ac:dyDescent="0.45">
      <c r="D4243" t="s">
        <v>1621</v>
      </c>
    </row>
    <row r="4244" spans="4:4" x14ac:dyDescent="0.45">
      <c r="D4244" t="s">
        <v>87</v>
      </c>
    </row>
    <row r="4245" spans="4:4" x14ac:dyDescent="0.45">
      <c r="D4245" t="s">
        <v>88</v>
      </c>
    </row>
    <row r="4246" spans="4:4" x14ac:dyDescent="0.45">
      <c r="D4246" t="s">
        <v>66</v>
      </c>
    </row>
    <row r="4247" spans="4:4" x14ac:dyDescent="0.45">
      <c r="D4247" t="s">
        <v>1622</v>
      </c>
    </row>
    <row r="4248" spans="4:4" x14ac:dyDescent="0.45">
      <c r="D4248" t="s">
        <v>1623</v>
      </c>
    </row>
    <row r="4249" spans="4:4" x14ac:dyDescent="0.45">
      <c r="D4249" t="s">
        <v>1624</v>
      </c>
    </row>
    <row r="4250" spans="4:4" x14ac:dyDescent="0.45">
      <c r="D4250" t="s">
        <v>1625</v>
      </c>
    </row>
    <row r="4251" spans="4:4" x14ac:dyDescent="0.45">
      <c r="D4251" t="s">
        <v>69</v>
      </c>
    </row>
    <row r="4252" spans="4:4" x14ac:dyDescent="0.45">
      <c r="D4252" t="s">
        <v>1626</v>
      </c>
    </row>
    <row r="4253" spans="4:4" x14ac:dyDescent="0.45">
      <c r="D4253" t="s">
        <v>1219</v>
      </c>
    </row>
    <row r="4254" spans="4:4" x14ac:dyDescent="0.45">
      <c r="D4254" t="s">
        <v>699</v>
      </c>
    </row>
    <row r="4255" spans="4:4" x14ac:dyDescent="0.45">
      <c r="D4255" t="s">
        <v>1627</v>
      </c>
    </row>
    <row r="4256" spans="4:4" x14ac:dyDescent="0.45">
      <c r="D4256" t="s">
        <v>1628</v>
      </c>
    </row>
    <row r="4257" spans="4:4" x14ac:dyDescent="0.45">
      <c r="D4257" t="s">
        <v>1553</v>
      </c>
    </row>
    <row r="4258" spans="4:4" x14ac:dyDescent="0.45">
      <c r="D4258" t="s">
        <v>1563</v>
      </c>
    </row>
    <row r="4259" spans="4:4" x14ac:dyDescent="0.45">
      <c r="D4259" t="s">
        <v>84</v>
      </c>
    </row>
    <row r="4260" spans="4:4" x14ac:dyDescent="0.45">
      <c r="D4260" t="s">
        <v>85</v>
      </c>
    </row>
    <row r="4261" spans="4:4" x14ac:dyDescent="0.45">
      <c r="D4261" t="s">
        <v>1629</v>
      </c>
    </row>
    <row r="4262" spans="4:4" x14ac:dyDescent="0.45">
      <c r="D4262" t="s">
        <v>87</v>
      </c>
    </row>
    <row r="4263" spans="4:4" x14ac:dyDescent="0.45">
      <c r="D4263" t="s">
        <v>88</v>
      </c>
    </row>
    <row r="4264" spans="4:4" x14ac:dyDescent="0.45">
      <c r="D4264" t="s">
        <v>66</v>
      </c>
    </row>
    <row r="4265" spans="4:4" x14ac:dyDescent="0.45">
      <c r="D4265" t="s">
        <v>1592</v>
      </c>
    </row>
    <row r="4266" spans="4:4" x14ac:dyDescent="0.45">
      <c r="D4266" t="s">
        <v>1566</v>
      </c>
    </row>
    <row r="4267" spans="4:4" x14ac:dyDescent="0.45">
      <c r="D4267" t="s">
        <v>1593</v>
      </c>
    </row>
    <row r="4268" spans="4:4" x14ac:dyDescent="0.45">
      <c r="D4268" t="s">
        <v>1630</v>
      </c>
    </row>
    <row r="4269" spans="4:4" x14ac:dyDescent="0.45">
      <c r="D4269" t="s">
        <v>69</v>
      </c>
    </row>
    <row r="4270" spans="4:4" x14ac:dyDescent="0.45">
      <c r="D4270" t="s">
        <v>1631</v>
      </c>
    </row>
    <row r="4271" spans="4:4" x14ac:dyDescent="0.45">
      <c r="D4271" t="s">
        <v>1219</v>
      </c>
    </row>
    <row r="4272" spans="4:4" x14ac:dyDescent="0.45">
      <c r="D4272" t="s">
        <v>1632</v>
      </c>
    </row>
    <row r="4273" spans="4:4" x14ac:dyDescent="0.45">
      <c r="D4273" t="s">
        <v>1633</v>
      </c>
    </row>
    <row r="4274" spans="4:4" x14ac:dyDescent="0.45">
      <c r="D4274" t="s">
        <v>1634</v>
      </c>
    </row>
    <row r="4275" spans="4:4" x14ac:dyDescent="0.45">
      <c r="D4275" t="s">
        <v>1553</v>
      </c>
    </row>
    <row r="4276" spans="4:4" x14ac:dyDescent="0.45">
      <c r="D4276" t="s">
        <v>1563</v>
      </c>
    </row>
    <row r="4277" spans="4:4" x14ac:dyDescent="0.45">
      <c r="D4277" t="s">
        <v>84</v>
      </c>
    </row>
    <row r="4278" spans="4:4" x14ac:dyDescent="0.45">
      <c r="D4278" t="s">
        <v>85</v>
      </c>
    </row>
    <row r="4279" spans="4:4" x14ac:dyDescent="0.45">
      <c r="D4279" t="s">
        <v>1635</v>
      </c>
    </row>
    <row r="4280" spans="4:4" x14ac:dyDescent="0.45">
      <c r="D4280" t="s">
        <v>87</v>
      </c>
    </row>
    <row r="4281" spans="4:4" x14ac:dyDescent="0.45">
      <c r="D4281" t="s">
        <v>88</v>
      </c>
    </row>
    <row r="4282" spans="4:4" x14ac:dyDescent="0.45">
      <c r="D4282" t="s">
        <v>66</v>
      </c>
    </row>
    <row r="4283" spans="4:4" x14ac:dyDescent="0.45">
      <c r="D4283" t="s">
        <v>1555</v>
      </c>
    </row>
    <row r="4284" spans="4:4" x14ac:dyDescent="0.45">
      <c r="D4284" t="s">
        <v>1636</v>
      </c>
    </row>
    <row r="4285" spans="4:4" x14ac:dyDescent="0.45">
      <c r="D4285" t="s">
        <v>1557</v>
      </c>
    </row>
    <row r="4286" spans="4:4" x14ac:dyDescent="0.45">
      <c r="D4286" t="s">
        <v>1637</v>
      </c>
    </row>
    <row r="4287" spans="4:4" x14ac:dyDescent="0.45">
      <c r="D4287" t="s">
        <v>69</v>
      </c>
    </row>
    <row r="4288" spans="4:4" x14ac:dyDescent="0.45">
      <c r="D4288" t="s">
        <v>1638</v>
      </c>
    </row>
    <row r="4289" spans="4:4" x14ac:dyDescent="0.45">
      <c r="D4289" t="s">
        <v>1219</v>
      </c>
    </row>
    <row r="4290" spans="4:4" x14ac:dyDescent="0.45">
      <c r="D4290" t="s">
        <v>1639</v>
      </c>
    </row>
    <row r="4291" spans="4:4" x14ac:dyDescent="0.45">
      <c r="D4291" t="s">
        <v>1640</v>
      </c>
    </row>
    <row r="4292" spans="4:4" x14ac:dyDescent="0.45">
      <c r="D4292" t="s">
        <v>1634</v>
      </c>
    </row>
    <row r="4293" spans="4:4" x14ac:dyDescent="0.45">
      <c r="D4293" t="s">
        <v>1553</v>
      </c>
    </row>
    <row r="4294" spans="4:4" x14ac:dyDescent="0.45">
      <c r="D4294" t="s">
        <v>1563</v>
      </c>
    </row>
    <row r="4295" spans="4:4" x14ac:dyDescent="0.45">
      <c r="D4295" t="s">
        <v>84</v>
      </c>
    </row>
    <row r="4296" spans="4:4" x14ac:dyDescent="0.45">
      <c r="D4296" t="s">
        <v>85</v>
      </c>
    </row>
    <row r="4297" spans="4:4" x14ac:dyDescent="0.45">
      <c r="D4297" t="s">
        <v>1641</v>
      </c>
    </row>
    <row r="4298" spans="4:4" x14ac:dyDescent="0.45">
      <c r="D4298" t="s">
        <v>87</v>
      </c>
    </row>
    <row r="4299" spans="4:4" x14ac:dyDescent="0.45">
      <c r="D4299" t="s">
        <v>88</v>
      </c>
    </row>
    <row r="4300" spans="4:4" x14ac:dyDescent="0.45">
      <c r="D4300" t="s">
        <v>66</v>
      </c>
    </row>
    <row r="4301" spans="4:4" x14ac:dyDescent="0.45">
      <c r="D4301" t="s">
        <v>1575</v>
      </c>
    </row>
    <row r="4302" spans="4:4" x14ac:dyDescent="0.45">
      <c r="D4302" t="s">
        <v>1576</v>
      </c>
    </row>
    <row r="4303" spans="4:4" x14ac:dyDescent="0.45">
      <c r="D4303" t="s">
        <v>1577</v>
      </c>
    </row>
    <row r="4304" spans="4:4" x14ac:dyDescent="0.45">
      <c r="D4304" t="s">
        <v>1642</v>
      </c>
    </row>
    <row r="4305" spans="4:4" x14ac:dyDescent="0.45">
      <c r="D4305" t="s">
        <v>69</v>
      </c>
    </row>
    <row r="4306" spans="4:4" x14ac:dyDescent="0.45">
      <c r="D4306" t="s">
        <v>1643</v>
      </c>
    </row>
    <row r="4307" spans="4:4" x14ac:dyDescent="0.45">
      <c r="D4307" t="s">
        <v>1219</v>
      </c>
    </row>
    <row r="4308" spans="4:4" x14ac:dyDescent="0.45">
      <c r="D4308" t="s">
        <v>1644</v>
      </c>
    </row>
    <row r="4309" spans="4:4" x14ac:dyDescent="0.45">
      <c r="D4309" t="s">
        <v>1645</v>
      </c>
    </row>
    <row r="4310" spans="4:4" x14ac:dyDescent="0.45">
      <c r="D4310" t="s">
        <v>1646</v>
      </c>
    </row>
    <row r="4311" spans="4:4" x14ac:dyDescent="0.45">
      <c r="D4311" t="s">
        <v>1647</v>
      </c>
    </row>
    <row r="4312" spans="4:4" x14ac:dyDescent="0.45">
      <c r="D4312" t="s">
        <v>1553</v>
      </c>
    </row>
    <row r="4313" spans="4:4" x14ac:dyDescent="0.45">
      <c r="D4313" t="s">
        <v>1648</v>
      </c>
    </row>
    <row r="4314" spans="4:4" x14ac:dyDescent="0.45">
      <c r="D4314" t="s">
        <v>84</v>
      </c>
    </row>
    <row r="4315" spans="4:4" x14ac:dyDescent="0.45">
      <c r="D4315" t="s">
        <v>85</v>
      </c>
    </row>
    <row r="4316" spans="4:4" x14ac:dyDescent="0.45">
      <c r="D4316" t="s">
        <v>1649</v>
      </c>
    </row>
    <row r="4317" spans="4:4" x14ac:dyDescent="0.45">
      <c r="D4317" t="s">
        <v>87</v>
      </c>
    </row>
    <row r="4318" spans="4:4" x14ac:dyDescent="0.45">
      <c r="D4318" t="s">
        <v>88</v>
      </c>
    </row>
    <row r="4319" spans="4:4" x14ac:dyDescent="0.45">
      <c r="D4319" t="s">
        <v>66</v>
      </c>
    </row>
    <row r="4320" spans="4:4" x14ac:dyDescent="0.45">
      <c r="D4320" t="s">
        <v>1592</v>
      </c>
    </row>
    <row r="4321" spans="4:4" x14ac:dyDescent="0.45">
      <c r="D4321" t="s">
        <v>1556</v>
      </c>
    </row>
    <row r="4322" spans="4:4" x14ac:dyDescent="0.45">
      <c r="D4322" t="s">
        <v>1593</v>
      </c>
    </row>
    <row r="4323" spans="4:4" x14ac:dyDescent="0.45">
      <c r="D4323" t="s">
        <v>1650</v>
      </c>
    </row>
    <row r="4324" spans="4:4" x14ac:dyDescent="0.45">
      <c r="D4324" t="s">
        <v>69</v>
      </c>
    </row>
    <row r="4325" spans="4:4" x14ac:dyDescent="0.45">
      <c r="D4325" t="s">
        <v>1651</v>
      </c>
    </row>
    <row r="4326" spans="4:4" x14ac:dyDescent="0.45">
      <c r="D4326" t="s">
        <v>1219</v>
      </c>
    </row>
    <row r="4327" spans="4:4" x14ac:dyDescent="0.45">
      <c r="D4327" t="s">
        <v>1596</v>
      </c>
    </row>
    <row r="4328" spans="4:4" x14ac:dyDescent="0.45">
      <c r="D4328" t="s">
        <v>1652</v>
      </c>
    </row>
    <row r="4329" spans="4:4" x14ac:dyDescent="0.45">
      <c r="D4329" t="s">
        <v>1653</v>
      </c>
    </row>
    <row r="4330" spans="4:4" x14ac:dyDescent="0.45">
      <c r="D4330" t="s">
        <v>1553</v>
      </c>
    </row>
    <row r="4331" spans="4:4" x14ac:dyDescent="0.45">
      <c r="D4331" t="s">
        <v>158</v>
      </c>
    </row>
    <row r="4332" spans="4:4" x14ac:dyDescent="0.45">
      <c r="D4332" t="s">
        <v>84</v>
      </c>
    </row>
    <row r="4333" spans="4:4" x14ac:dyDescent="0.45">
      <c r="D4333" t="s">
        <v>85</v>
      </c>
    </row>
    <row r="4334" spans="4:4" x14ac:dyDescent="0.45">
      <c r="D4334" t="s">
        <v>1654</v>
      </c>
    </row>
    <row r="4335" spans="4:4" x14ac:dyDescent="0.45">
      <c r="D4335" t="s">
        <v>87</v>
      </c>
    </row>
    <row r="4336" spans="4:4" x14ac:dyDescent="0.45">
      <c r="D4336" t="s">
        <v>88</v>
      </c>
    </row>
    <row r="4337" spans="4:4" x14ac:dyDescent="0.45">
      <c r="D4337" t="s">
        <v>66</v>
      </c>
    </row>
    <row r="4338" spans="4:4" x14ac:dyDescent="0.45">
      <c r="D4338" t="s">
        <v>1655</v>
      </c>
    </row>
    <row r="4339" spans="4:4" x14ac:dyDescent="0.45">
      <c r="D4339" t="s">
        <v>1656</v>
      </c>
    </row>
    <row r="4340" spans="4:4" x14ac:dyDescent="0.45">
      <c r="D4340" t="s">
        <v>69</v>
      </c>
    </row>
    <row r="4341" spans="4:4" x14ac:dyDescent="0.45">
      <c r="D4341" t="s">
        <v>1657</v>
      </c>
    </row>
    <row r="4342" spans="4:4" x14ac:dyDescent="0.45">
      <c r="D4342" t="s">
        <v>1658</v>
      </c>
    </row>
    <row r="4343" spans="4:4" x14ac:dyDescent="0.45">
      <c r="D4343" t="s">
        <v>133</v>
      </c>
    </row>
    <row r="4344" spans="4:4" x14ac:dyDescent="0.45">
      <c r="D4344" t="s">
        <v>1659</v>
      </c>
    </row>
    <row r="4345" spans="4:4" x14ac:dyDescent="0.45">
      <c r="D4345" t="s">
        <v>127</v>
      </c>
    </row>
    <row r="4346" spans="4:4" x14ac:dyDescent="0.45">
      <c r="D4346" t="s">
        <v>84</v>
      </c>
    </row>
    <row r="4347" spans="4:4" x14ac:dyDescent="0.45">
      <c r="D4347" t="s">
        <v>85</v>
      </c>
    </row>
    <row r="4348" spans="4:4" x14ac:dyDescent="0.45">
      <c r="D4348" t="s">
        <v>1660</v>
      </c>
    </row>
    <row r="4349" spans="4:4" x14ac:dyDescent="0.45">
      <c r="D4349" t="s">
        <v>87</v>
      </c>
    </row>
    <row r="4350" spans="4:4" x14ac:dyDescent="0.45">
      <c r="D4350" t="s">
        <v>88</v>
      </c>
    </row>
    <row r="4351" spans="4:4" x14ac:dyDescent="0.45">
      <c r="D4351" t="s">
        <v>66</v>
      </c>
    </row>
    <row r="4352" spans="4:4" x14ac:dyDescent="0.45">
      <c r="D4352" t="s">
        <v>1661</v>
      </c>
    </row>
    <row r="4353" spans="4:4" x14ac:dyDescent="0.45">
      <c r="D4353" t="s">
        <v>1662</v>
      </c>
    </row>
    <row r="4354" spans="4:4" x14ac:dyDescent="0.45">
      <c r="D4354" t="s">
        <v>69</v>
      </c>
    </row>
    <row r="4355" spans="4:4" x14ac:dyDescent="0.45">
      <c r="D4355" t="s">
        <v>1663</v>
      </c>
    </row>
    <row r="4356" spans="4:4" x14ac:dyDescent="0.45">
      <c r="D4356" t="s">
        <v>1664</v>
      </c>
    </row>
    <row r="4357" spans="4:4" x14ac:dyDescent="0.45">
      <c r="D4357" t="s">
        <v>133</v>
      </c>
    </row>
    <row r="4358" spans="4:4" x14ac:dyDescent="0.45">
      <c r="D4358" t="s">
        <v>1665</v>
      </c>
    </row>
    <row r="4359" spans="4:4" x14ac:dyDescent="0.45">
      <c r="D4359" t="s">
        <v>127</v>
      </c>
    </row>
    <row r="4360" spans="4:4" x14ac:dyDescent="0.45">
      <c r="D4360" t="s">
        <v>84</v>
      </c>
    </row>
    <row r="4361" spans="4:4" x14ac:dyDescent="0.45">
      <c r="D4361" t="s">
        <v>85</v>
      </c>
    </row>
    <row r="4362" spans="4:4" x14ac:dyDescent="0.45">
      <c r="D4362" t="s">
        <v>1666</v>
      </c>
    </row>
    <row r="4363" spans="4:4" x14ac:dyDescent="0.45">
      <c r="D4363" t="s">
        <v>87</v>
      </c>
    </row>
    <row r="4364" spans="4:4" x14ac:dyDescent="0.45">
      <c r="D4364" t="s">
        <v>1196</v>
      </c>
    </row>
    <row r="4365" spans="4:4" x14ac:dyDescent="0.45">
      <c r="D4365" t="s">
        <v>1197</v>
      </c>
    </row>
    <row r="4366" spans="4:4" x14ac:dyDescent="0.45">
      <c r="D4366" t="s">
        <v>1198</v>
      </c>
    </row>
    <row r="4367" spans="4:4" x14ac:dyDescent="0.45">
      <c r="D4367" t="s">
        <v>1424</v>
      </c>
    </row>
    <row r="4368" spans="4:4" x14ac:dyDescent="0.45">
      <c r="D4368" t="s">
        <v>1200</v>
      </c>
    </row>
    <row r="4369" spans="4:4" x14ac:dyDescent="0.45">
      <c r="D4369" t="s">
        <v>88</v>
      </c>
    </row>
    <row r="4370" spans="4:4" x14ac:dyDescent="0.45">
      <c r="D4370" t="s">
        <v>66</v>
      </c>
    </row>
    <row r="4371" spans="4:4" x14ac:dyDescent="0.45">
      <c r="D4371" t="s">
        <v>1667</v>
      </c>
    </row>
    <row r="4372" spans="4:4" x14ac:dyDescent="0.45">
      <c r="D4372" t="s">
        <v>1668</v>
      </c>
    </row>
    <row r="4373" spans="4:4" x14ac:dyDescent="0.45">
      <c r="D4373" t="s">
        <v>1669</v>
      </c>
    </row>
    <row r="4374" spans="4:4" x14ac:dyDescent="0.45">
      <c r="D4374" t="s">
        <v>69</v>
      </c>
    </row>
    <row r="4375" spans="4:4" x14ac:dyDescent="0.45">
      <c r="D4375" t="s">
        <v>1670</v>
      </c>
    </row>
    <row r="4376" spans="4:4" x14ac:dyDescent="0.45">
      <c r="D4376" t="s">
        <v>1671</v>
      </c>
    </row>
    <row r="4377" spans="4:4" x14ac:dyDescent="0.45">
      <c r="D4377" t="s">
        <v>133</v>
      </c>
    </row>
    <row r="4378" spans="4:4" x14ac:dyDescent="0.45">
      <c r="D4378" t="s">
        <v>1672</v>
      </c>
    </row>
    <row r="4379" spans="4:4" x14ac:dyDescent="0.45">
      <c r="D4379" t="s">
        <v>127</v>
      </c>
    </row>
    <row r="4380" spans="4:4" x14ac:dyDescent="0.45">
      <c r="D4380" t="s">
        <v>84</v>
      </c>
    </row>
    <row r="4381" spans="4:4" x14ac:dyDescent="0.45">
      <c r="D4381" t="s">
        <v>85</v>
      </c>
    </row>
    <row r="4382" spans="4:4" x14ac:dyDescent="0.45">
      <c r="D4382" t="s">
        <v>1673</v>
      </c>
    </row>
    <row r="4383" spans="4:4" x14ac:dyDescent="0.45">
      <c r="D4383" t="s">
        <v>87</v>
      </c>
    </row>
    <row r="4384" spans="4:4" x14ac:dyDescent="0.45">
      <c r="D4384" t="s">
        <v>1196</v>
      </c>
    </row>
    <row r="4385" spans="4:4" x14ac:dyDescent="0.45">
      <c r="D4385" t="s">
        <v>1197</v>
      </c>
    </row>
    <row r="4386" spans="4:4" x14ac:dyDescent="0.45">
      <c r="D4386" t="s">
        <v>1198</v>
      </c>
    </row>
    <row r="4387" spans="4:4" x14ac:dyDescent="0.45">
      <c r="D4387" t="s">
        <v>1424</v>
      </c>
    </row>
    <row r="4388" spans="4:4" x14ac:dyDescent="0.45">
      <c r="D4388" t="s">
        <v>1200</v>
      </c>
    </row>
    <row r="4389" spans="4:4" x14ac:dyDescent="0.45">
      <c r="D4389" t="s">
        <v>88</v>
      </c>
    </row>
    <row r="4390" spans="4:4" x14ac:dyDescent="0.45">
      <c r="D4390" t="s">
        <v>66</v>
      </c>
    </row>
    <row r="4391" spans="4:4" x14ac:dyDescent="0.45">
      <c r="D4391" t="s">
        <v>1674</v>
      </c>
    </row>
    <row r="4392" spans="4:4" x14ac:dyDescent="0.45">
      <c r="D4392" t="s">
        <v>1675</v>
      </c>
    </row>
    <row r="4393" spans="4:4" x14ac:dyDescent="0.45">
      <c r="D4393" t="s">
        <v>69</v>
      </c>
    </row>
    <row r="4394" spans="4:4" x14ac:dyDescent="0.45">
      <c r="D4394" t="s">
        <v>1676</v>
      </c>
    </row>
    <row r="4395" spans="4:4" x14ac:dyDescent="0.45">
      <c r="D4395" t="s">
        <v>1677</v>
      </c>
    </row>
    <row r="4396" spans="4:4" x14ac:dyDescent="0.45">
      <c r="D4396" t="s">
        <v>1678</v>
      </c>
    </row>
    <row r="4397" spans="4:4" x14ac:dyDescent="0.45">
      <c r="D4397" t="s">
        <v>1679</v>
      </c>
    </row>
    <row r="4398" spans="4:4" x14ac:dyDescent="0.45">
      <c r="D4398" t="s">
        <v>1680</v>
      </c>
    </row>
    <row r="4399" spans="4:4" x14ac:dyDescent="0.45">
      <c r="D4399" t="s">
        <v>1681</v>
      </c>
    </row>
    <row r="4400" spans="4:4" x14ac:dyDescent="0.45">
      <c r="D4400" t="s">
        <v>1682</v>
      </c>
    </row>
    <row r="4401" spans="4:4" x14ac:dyDescent="0.45">
      <c r="D4401" t="s">
        <v>1683</v>
      </c>
    </row>
    <row r="4402" spans="4:4" x14ac:dyDescent="0.45">
      <c r="D4402" t="s">
        <v>1684</v>
      </c>
    </row>
    <row r="4403" spans="4:4" x14ac:dyDescent="0.45">
      <c r="D4403" t="s">
        <v>1685</v>
      </c>
    </row>
    <row r="4404" spans="4:4" x14ac:dyDescent="0.45">
      <c r="D4404" t="s">
        <v>76</v>
      </c>
    </row>
    <row r="4405" spans="4:4" x14ac:dyDescent="0.45">
      <c r="D4405" t="s">
        <v>77</v>
      </c>
    </row>
    <row r="4406" spans="4:4" x14ac:dyDescent="0.45">
      <c r="D4406" t="s">
        <v>1686</v>
      </c>
    </row>
    <row r="4407" spans="4:4" x14ac:dyDescent="0.45">
      <c r="D4407" t="s">
        <v>133</v>
      </c>
    </row>
    <row r="4408" spans="4:4" x14ac:dyDescent="0.45">
      <c r="D4408" t="s">
        <v>1687</v>
      </c>
    </row>
    <row r="4409" spans="4:4" x14ac:dyDescent="0.45">
      <c r="D4409" t="s">
        <v>127</v>
      </c>
    </row>
    <row r="4410" spans="4:4" x14ac:dyDescent="0.45">
      <c r="D4410" t="s">
        <v>84</v>
      </c>
    </row>
    <row r="4411" spans="4:4" x14ac:dyDescent="0.45">
      <c r="D4411" t="s">
        <v>85</v>
      </c>
    </row>
    <row r="4412" spans="4:4" x14ac:dyDescent="0.45">
      <c r="D4412" t="s">
        <v>1688</v>
      </c>
    </row>
    <row r="4413" spans="4:4" x14ac:dyDescent="0.45">
      <c r="D4413" t="s">
        <v>87</v>
      </c>
    </row>
    <row r="4414" spans="4:4" x14ac:dyDescent="0.45">
      <c r="D4414" t="s">
        <v>88</v>
      </c>
    </row>
    <row r="4415" spans="4:4" x14ac:dyDescent="0.45">
      <c r="D4415" t="s">
        <v>66</v>
      </c>
    </row>
    <row r="4416" spans="4:4" x14ac:dyDescent="0.45">
      <c r="D4416" t="s">
        <v>1689</v>
      </c>
    </row>
    <row r="4417" spans="4:4" x14ac:dyDescent="0.45">
      <c r="D4417" t="s">
        <v>1690</v>
      </c>
    </row>
    <row r="4418" spans="4:4" x14ac:dyDescent="0.45">
      <c r="D4418" t="s">
        <v>1691</v>
      </c>
    </row>
    <row r="4419" spans="4:4" x14ac:dyDescent="0.45">
      <c r="D4419" t="s">
        <v>69</v>
      </c>
    </row>
    <row r="4420" spans="4:4" x14ac:dyDescent="0.45">
      <c r="D4420" t="s">
        <v>1676</v>
      </c>
    </row>
    <row r="4421" spans="4:4" x14ac:dyDescent="0.45">
      <c r="D4421" t="s">
        <v>1692</v>
      </c>
    </row>
    <row r="4422" spans="4:4" x14ac:dyDescent="0.45">
      <c r="D4422" t="s">
        <v>76</v>
      </c>
    </row>
    <row r="4423" spans="4:4" x14ac:dyDescent="0.45">
      <c r="D4423" t="s">
        <v>77</v>
      </c>
    </row>
    <row r="4424" spans="4:4" x14ac:dyDescent="0.45">
      <c r="D4424" t="s">
        <v>1680</v>
      </c>
    </row>
    <row r="4425" spans="4:4" x14ac:dyDescent="0.45">
      <c r="D4425" t="s">
        <v>1681</v>
      </c>
    </row>
    <row r="4426" spans="4:4" x14ac:dyDescent="0.45">
      <c r="D4426" t="s">
        <v>1684</v>
      </c>
    </row>
    <row r="4427" spans="4:4" x14ac:dyDescent="0.45">
      <c r="D4427" t="s">
        <v>1685</v>
      </c>
    </row>
    <row r="4428" spans="4:4" x14ac:dyDescent="0.45">
      <c r="D4428" t="s">
        <v>1682</v>
      </c>
    </row>
    <row r="4429" spans="4:4" x14ac:dyDescent="0.45">
      <c r="D4429" t="s">
        <v>1683</v>
      </c>
    </row>
    <row r="4430" spans="4:4" x14ac:dyDescent="0.45">
      <c r="D4430" t="s">
        <v>1678</v>
      </c>
    </row>
    <row r="4431" spans="4:4" x14ac:dyDescent="0.45">
      <c r="D4431" t="s">
        <v>1679</v>
      </c>
    </row>
    <row r="4432" spans="4:4" x14ac:dyDescent="0.45">
      <c r="D4432" t="s">
        <v>1693</v>
      </c>
    </row>
    <row r="4433" spans="4:4" x14ac:dyDescent="0.45">
      <c r="D4433" t="s">
        <v>133</v>
      </c>
    </row>
    <row r="4434" spans="4:4" x14ac:dyDescent="0.45">
      <c r="D4434" t="s">
        <v>1694</v>
      </c>
    </row>
    <row r="4435" spans="4:4" x14ac:dyDescent="0.45">
      <c r="D4435" t="s">
        <v>127</v>
      </c>
    </row>
    <row r="4436" spans="4:4" x14ac:dyDescent="0.45">
      <c r="D4436" t="s">
        <v>84</v>
      </c>
    </row>
    <row r="4437" spans="4:4" x14ac:dyDescent="0.45">
      <c r="D4437" t="s">
        <v>85</v>
      </c>
    </row>
    <row r="4438" spans="4:4" x14ac:dyDescent="0.45">
      <c r="D4438" t="s">
        <v>1695</v>
      </c>
    </row>
    <row r="4439" spans="4:4" x14ac:dyDescent="0.45">
      <c r="D4439" t="s">
        <v>87</v>
      </c>
    </row>
    <row r="4440" spans="4:4" x14ac:dyDescent="0.45">
      <c r="D4440" t="s">
        <v>88</v>
      </c>
    </row>
    <row r="4441" spans="4:4" x14ac:dyDescent="0.45">
      <c r="D4441" t="s">
        <v>66</v>
      </c>
    </row>
    <row r="4442" spans="4:4" x14ac:dyDescent="0.45">
      <c r="D4442" t="s">
        <v>1696</v>
      </c>
    </row>
    <row r="4443" spans="4:4" x14ac:dyDescent="0.45">
      <c r="D4443" t="s">
        <v>1697</v>
      </c>
    </row>
    <row r="4444" spans="4:4" x14ac:dyDescent="0.45">
      <c r="D4444" t="s">
        <v>1698</v>
      </c>
    </row>
    <row r="4445" spans="4:4" x14ac:dyDescent="0.45">
      <c r="D4445" t="s">
        <v>69</v>
      </c>
    </row>
    <row r="4446" spans="4:4" x14ac:dyDescent="0.45">
      <c r="D4446" t="s">
        <v>1676</v>
      </c>
    </row>
    <row r="4447" spans="4:4" x14ac:dyDescent="0.45">
      <c r="D4447" t="s">
        <v>1699</v>
      </c>
    </row>
    <row r="4448" spans="4:4" x14ac:dyDescent="0.45">
      <c r="D4448" t="s">
        <v>1684</v>
      </c>
    </row>
    <row r="4449" spans="4:4" x14ac:dyDescent="0.45">
      <c r="D4449" t="s">
        <v>1685</v>
      </c>
    </row>
    <row r="4450" spans="4:4" x14ac:dyDescent="0.45">
      <c r="D4450" t="s">
        <v>1108</v>
      </c>
    </row>
    <row r="4451" spans="4:4" x14ac:dyDescent="0.45">
      <c r="D4451" t="s">
        <v>1109</v>
      </c>
    </row>
    <row r="4452" spans="4:4" x14ac:dyDescent="0.45">
      <c r="D4452" t="s">
        <v>1682</v>
      </c>
    </row>
    <row r="4453" spans="4:4" x14ac:dyDescent="0.45">
      <c r="D4453" t="s">
        <v>1683</v>
      </c>
    </row>
    <row r="4454" spans="4:4" x14ac:dyDescent="0.45">
      <c r="D4454" t="s">
        <v>1680</v>
      </c>
    </row>
    <row r="4455" spans="4:4" x14ac:dyDescent="0.45">
      <c r="D4455" t="s">
        <v>1681</v>
      </c>
    </row>
    <row r="4456" spans="4:4" x14ac:dyDescent="0.45">
      <c r="D4456" t="s">
        <v>1678</v>
      </c>
    </row>
    <row r="4457" spans="4:4" x14ac:dyDescent="0.45">
      <c r="D4457" t="s">
        <v>1679</v>
      </c>
    </row>
    <row r="4458" spans="4:4" x14ac:dyDescent="0.45">
      <c r="D4458" t="s">
        <v>1700</v>
      </c>
    </row>
    <row r="4459" spans="4:4" x14ac:dyDescent="0.45">
      <c r="D4459" t="s">
        <v>133</v>
      </c>
    </row>
    <row r="4460" spans="4:4" x14ac:dyDescent="0.45">
      <c r="D4460" t="s">
        <v>1701</v>
      </c>
    </row>
    <row r="4461" spans="4:4" x14ac:dyDescent="0.45">
      <c r="D4461" t="s">
        <v>127</v>
      </c>
    </row>
    <row r="4462" spans="4:4" x14ac:dyDescent="0.45">
      <c r="D4462" t="s">
        <v>84</v>
      </c>
    </row>
    <row r="4463" spans="4:4" x14ac:dyDescent="0.45">
      <c r="D4463" t="s">
        <v>85</v>
      </c>
    </row>
    <row r="4464" spans="4:4" x14ac:dyDescent="0.45">
      <c r="D4464" t="s">
        <v>1702</v>
      </c>
    </row>
    <row r="4465" spans="4:4" x14ac:dyDescent="0.45">
      <c r="D4465" t="s">
        <v>87</v>
      </c>
    </row>
    <row r="4466" spans="4:4" x14ac:dyDescent="0.45">
      <c r="D4466" t="s">
        <v>88</v>
      </c>
    </row>
    <row r="4467" spans="4:4" x14ac:dyDescent="0.45">
      <c r="D4467" t="s">
        <v>66</v>
      </c>
    </row>
    <row r="4468" spans="4:4" x14ac:dyDescent="0.45">
      <c r="D4468" t="s">
        <v>1703</v>
      </c>
    </row>
    <row r="4469" spans="4:4" x14ac:dyDescent="0.45">
      <c r="D4469" t="s">
        <v>1704</v>
      </c>
    </row>
    <row r="4470" spans="4:4" x14ac:dyDescent="0.45">
      <c r="D4470" t="s">
        <v>1705</v>
      </c>
    </row>
    <row r="4471" spans="4:4" x14ac:dyDescent="0.45">
      <c r="D4471" t="s">
        <v>69</v>
      </c>
    </row>
    <row r="4472" spans="4:4" x14ac:dyDescent="0.45">
      <c r="D4472" t="s">
        <v>1676</v>
      </c>
    </row>
    <row r="4473" spans="4:4" x14ac:dyDescent="0.45">
      <c r="D4473" t="s">
        <v>1706</v>
      </c>
    </row>
    <row r="4474" spans="4:4" x14ac:dyDescent="0.45">
      <c r="D4474" t="s">
        <v>1684</v>
      </c>
    </row>
    <row r="4475" spans="4:4" x14ac:dyDescent="0.45">
      <c r="D4475" t="s">
        <v>1685</v>
      </c>
    </row>
    <row r="4476" spans="4:4" x14ac:dyDescent="0.45">
      <c r="D4476" t="s">
        <v>1707</v>
      </c>
    </row>
    <row r="4477" spans="4:4" x14ac:dyDescent="0.45">
      <c r="D4477" t="s">
        <v>1708</v>
      </c>
    </row>
    <row r="4478" spans="4:4" x14ac:dyDescent="0.45">
      <c r="D4478" t="s">
        <v>1680</v>
      </c>
    </row>
    <row r="4479" spans="4:4" x14ac:dyDescent="0.45">
      <c r="D4479" t="s">
        <v>1681</v>
      </c>
    </row>
    <row r="4480" spans="4:4" x14ac:dyDescent="0.45">
      <c r="D4480" t="s">
        <v>1678</v>
      </c>
    </row>
    <row r="4481" spans="4:4" x14ac:dyDescent="0.45">
      <c r="D4481" t="s">
        <v>1679</v>
      </c>
    </row>
    <row r="4482" spans="4:4" x14ac:dyDescent="0.45">
      <c r="D4482" t="s">
        <v>76</v>
      </c>
    </row>
    <row r="4483" spans="4:4" x14ac:dyDescent="0.45">
      <c r="D4483" t="s">
        <v>77</v>
      </c>
    </row>
    <row r="4484" spans="4:4" x14ac:dyDescent="0.45">
      <c r="D4484" t="s">
        <v>1709</v>
      </c>
    </row>
    <row r="4485" spans="4:4" x14ac:dyDescent="0.45">
      <c r="D4485" t="s">
        <v>1710</v>
      </c>
    </row>
    <row r="4486" spans="4:4" x14ac:dyDescent="0.45">
      <c r="D4486" t="s">
        <v>1711</v>
      </c>
    </row>
    <row r="4487" spans="4:4" x14ac:dyDescent="0.45">
      <c r="D4487" t="s">
        <v>133</v>
      </c>
    </row>
    <row r="4488" spans="4:4" x14ac:dyDescent="0.45">
      <c r="D4488" t="s">
        <v>1712</v>
      </c>
    </row>
    <row r="4489" spans="4:4" x14ac:dyDescent="0.45">
      <c r="D4489" t="s">
        <v>1713</v>
      </c>
    </row>
    <row r="4490" spans="4:4" x14ac:dyDescent="0.45">
      <c r="D4490" t="s">
        <v>139</v>
      </c>
    </row>
    <row r="4491" spans="4:4" x14ac:dyDescent="0.45">
      <c r="D4491" t="s">
        <v>85</v>
      </c>
    </row>
    <row r="4492" spans="4:4" x14ac:dyDescent="0.45">
      <c r="D4492" t="s">
        <v>1714</v>
      </c>
    </row>
    <row r="4493" spans="4:4" x14ac:dyDescent="0.45">
      <c r="D4493" t="s">
        <v>87</v>
      </c>
    </row>
    <row r="4494" spans="4:4" x14ac:dyDescent="0.45">
      <c r="D4494" t="s">
        <v>88</v>
      </c>
    </row>
    <row r="4495" spans="4:4" x14ac:dyDescent="0.45">
      <c r="D4495" t="s">
        <v>66</v>
      </c>
    </row>
    <row r="4496" spans="4:4" x14ac:dyDescent="0.45">
      <c r="D4496" t="s">
        <v>1715</v>
      </c>
    </row>
    <row r="4497" spans="4:4" x14ac:dyDescent="0.45">
      <c r="D4497" t="s">
        <v>1716</v>
      </c>
    </row>
    <row r="4498" spans="4:4" x14ac:dyDescent="0.45">
      <c r="D4498" t="s">
        <v>69</v>
      </c>
    </row>
    <row r="4499" spans="4:4" x14ac:dyDescent="0.45">
      <c r="D4499" t="s">
        <v>1676</v>
      </c>
    </row>
    <row r="4500" spans="4:4" x14ac:dyDescent="0.45">
      <c r="D4500" t="s">
        <v>1692</v>
      </c>
    </row>
    <row r="4501" spans="4:4" x14ac:dyDescent="0.45">
      <c r="D4501" t="s">
        <v>1682</v>
      </c>
    </row>
    <row r="4502" spans="4:4" x14ac:dyDescent="0.45">
      <c r="D4502" t="s">
        <v>1683</v>
      </c>
    </row>
    <row r="4503" spans="4:4" x14ac:dyDescent="0.45">
      <c r="D4503" t="s">
        <v>76</v>
      </c>
    </row>
    <row r="4504" spans="4:4" x14ac:dyDescent="0.45">
      <c r="D4504" t="s">
        <v>77</v>
      </c>
    </row>
    <row r="4505" spans="4:4" x14ac:dyDescent="0.45">
      <c r="D4505" t="s">
        <v>1684</v>
      </c>
    </row>
    <row r="4506" spans="4:4" x14ac:dyDescent="0.45">
      <c r="D4506" t="s">
        <v>1685</v>
      </c>
    </row>
    <row r="4507" spans="4:4" x14ac:dyDescent="0.45">
      <c r="D4507" t="s">
        <v>1680</v>
      </c>
    </row>
    <row r="4508" spans="4:4" x14ac:dyDescent="0.45">
      <c r="D4508" t="s">
        <v>1681</v>
      </c>
    </row>
    <row r="4509" spans="4:4" x14ac:dyDescent="0.45">
      <c r="D4509" t="s">
        <v>1678</v>
      </c>
    </row>
    <row r="4510" spans="4:4" x14ac:dyDescent="0.45">
      <c r="D4510" t="s">
        <v>1679</v>
      </c>
    </row>
    <row r="4511" spans="4:4" x14ac:dyDescent="0.45">
      <c r="D4511" t="s">
        <v>1717</v>
      </c>
    </row>
    <row r="4512" spans="4:4" x14ac:dyDescent="0.45">
      <c r="D4512" t="s">
        <v>1693</v>
      </c>
    </row>
    <row r="4513" spans="4:4" x14ac:dyDescent="0.45">
      <c r="D4513" t="s">
        <v>1718</v>
      </c>
    </row>
    <row r="4514" spans="4:4" x14ac:dyDescent="0.45">
      <c r="D4514" t="s">
        <v>1719</v>
      </c>
    </row>
    <row r="4515" spans="4:4" x14ac:dyDescent="0.45">
      <c r="D4515" t="s">
        <v>127</v>
      </c>
    </row>
    <row r="4516" spans="4:4" x14ac:dyDescent="0.45">
      <c r="D4516" t="s">
        <v>84</v>
      </c>
    </row>
    <row r="4517" spans="4:4" x14ac:dyDescent="0.45">
      <c r="D4517" t="s">
        <v>85</v>
      </c>
    </row>
    <row r="4518" spans="4:4" x14ac:dyDescent="0.45">
      <c r="D4518" t="s">
        <v>1695</v>
      </c>
    </row>
    <row r="4519" spans="4:4" x14ac:dyDescent="0.45">
      <c r="D4519" t="s">
        <v>87</v>
      </c>
    </row>
    <row r="4520" spans="4:4" x14ac:dyDescent="0.45">
      <c r="D4520" t="s">
        <v>88</v>
      </c>
    </row>
    <row r="4521" spans="4:4" x14ac:dyDescent="0.45">
      <c r="D4521" t="s">
        <v>66</v>
      </c>
    </row>
    <row r="4522" spans="4:4" x14ac:dyDescent="0.45">
      <c r="D4522" t="s">
        <v>1720</v>
      </c>
    </row>
    <row r="4523" spans="4:4" x14ac:dyDescent="0.45">
      <c r="D4523" t="s">
        <v>1721</v>
      </c>
    </row>
    <row r="4524" spans="4:4" x14ac:dyDescent="0.45">
      <c r="D4524" t="s">
        <v>69</v>
      </c>
    </row>
    <row r="4525" spans="4:4" x14ac:dyDescent="0.45">
      <c r="D4525" t="s">
        <v>1676</v>
      </c>
    </row>
    <row r="4526" spans="4:4" x14ac:dyDescent="0.45">
      <c r="D4526" t="s">
        <v>1722</v>
      </c>
    </row>
    <row r="4527" spans="4:4" x14ac:dyDescent="0.45">
      <c r="D4527" t="s">
        <v>1678</v>
      </c>
    </row>
    <row r="4528" spans="4:4" x14ac:dyDescent="0.45">
      <c r="D4528" t="s">
        <v>1679</v>
      </c>
    </row>
    <row r="4529" spans="4:4" x14ac:dyDescent="0.45">
      <c r="D4529" t="s">
        <v>1723</v>
      </c>
    </row>
    <row r="4530" spans="4:4" x14ac:dyDescent="0.45">
      <c r="D4530" t="s">
        <v>1724</v>
      </c>
    </row>
    <row r="4531" spans="4:4" x14ac:dyDescent="0.45">
      <c r="D4531" t="s">
        <v>1707</v>
      </c>
    </row>
    <row r="4532" spans="4:4" x14ac:dyDescent="0.45">
      <c r="D4532" t="s">
        <v>1708</v>
      </c>
    </row>
    <row r="4533" spans="4:4" x14ac:dyDescent="0.45">
      <c r="D4533" t="s">
        <v>1108</v>
      </c>
    </row>
    <row r="4534" spans="4:4" x14ac:dyDescent="0.45">
      <c r="D4534" t="s">
        <v>1109</v>
      </c>
    </row>
    <row r="4535" spans="4:4" x14ac:dyDescent="0.45">
      <c r="D4535" t="s">
        <v>1725</v>
      </c>
    </row>
    <row r="4536" spans="4:4" x14ac:dyDescent="0.45">
      <c r="D4536" t="s">
        <v>1726</v>
      </c>
    </row>
    <row r="4537" spans="4:4" x14ac:dyDescent="0.45">
      <c r="D4537" t="s">
        <v>1727</v>
      </c>
    </row>
    <row r="4538" spans="4:4" x14ac:dyDescent="0.45">
      <c r="D4538" t="s">
        <v>1728</v>
      </c>
    </row>
    <row r="4539" spans="4:4" x14ac:dyDescent="0.45">
      <c r="D4539" t="s">
        <v>1729</v>
      </c>
    </row>
    <row r="4540" spans="4:4" x14ac:dyDescent="0.45">
      <c r="D4540" t="s">
        <v>1730</v>
      </c>
    </row>
    <row r="4541" spans="4:4" x14ac:dyDescent="0.45">
      <c r="D4541" t="s">
        <v>1680</v>
      </c>
    </row>
    <row r="4542" spans="4:4" x14ac:dyDescent="0.45">
      <c r="D4542" t="s">
        <v>1681</v>
      </c>
    </row>
    <row r="4543" spans="4:4" x14ac:dyDescent="0.45">
      <c r="D4543" t="s">
        <v>1731</v>
      </c>
    </row>
    <row r="4544" spans="4:4" x14ac:dyDescent="0.45">
      <c r="D4544" t="s">
        <v>133</v>
      </c>
    </row>
    <row r="4545" spans="4:4" x14ac:dyDescent="0.45">
      <c r="D4545" t="s">
        <v>1732</v>
      </c>
    </row>
    <row r="4546" spans="4:4" x14ac:dyDescent="0.45">
      <c r="D4546" t="s">
        <v>127</v>
      </c>
    </row>
    <row r="4547" spans="4:4" x14ac:dyDescent="0.45">
      <c r="D4547" t="s">
        <v>84</v>
      </c>
    </row>
    <row r="4548" spans="4:4" x14ac:dyDescent="0.45">
      <c r="D4548" t="s">
        <v>85</v>
      </c>
    </row>
    <row r="4549" spans="4:4" x14ac:dyDescent="0.45">
      <c r="D4549" t="s">
        <v>1733</v>
      </c>
    </row>
    <row r="4550" spans="4:4" x14ac:dyDescent="0.45">
      <c r="D4550" t="s">
        <v>87</v>
      </c>
    </row>
    <row r="4551" spans="4:4" x14ac:dyDescent="0.45">
      <c r="D4551" t="s">
        <v>88</v>
      </c>
    </row>
    <row r="4552" spans="4:4" x14ac:dyDescent="0.45">
      <c r="D4552" t="s">
        <v>66</v>
      </c>
    </row>
    <row r="4553" spans="4:4" x14ac:dyDescent="0.45">
      <c r="D4553" t="s">
        <v>1734</v>
      </c>
    </row>
    <row r="4554" spans="4:4" x14ac:dyDescent="0.45">
      <c r="D4554" t="s">
        <v>1735</v>
      </c>
    </row>
    <row r="4555" spans="4:4" x14ac:dyDescent="0.45">
      <c r="D4555" t="s">
        <v>69</v>
      </c>
    </row>
    <row r="4556" spans="4:4" x14ac:dyDescent="0.45">
      <c r="D4556" t="s">
        <v>1676</v>
      </c>
    </row>
    <row r="4557" spans="4:4" x14ac:dyDescent="0.45">
      <c r="D4557" t="s">
        <v>1699</v>
      </c>
    </row>
    <row r="4558" spans="4:4" x14ac:dyDescent="0.45">
      <c r="D4558" t="s">
        <v>1678</v>
      </c>
    </row>
    <row r="4559" spans="4:4" x14ac:dyDescent="0.45">
      <c r="D4559" t="s">
        <v>1679</v>
      </c>
    </row>
    <row r="4560" spans="4:4" x14ac:dyDescent="0.45">
      <c r="D4560" t="s">
        <v>1680</v>
      </c>
    </row>
    <row r="4561" spans="4:4" x14ac:dyDescent="0.45">
      <c r="D4561" t="s">
        <v>1681</v>
      </c>
    </row>
    <row r="4562" spans="4:4" x14ac:dyDescent="0.45">
      <c r="D4562" t="s">
        <v>1707</v>
      </c>
    </row>
    <row r="4563" spans="4:4" x14ac:dyDescent="0.45">
      <c r="D4563" t="s">
        <v>1708</v>
      </c>
    </row>
    <row r="4564" spans="4:4" x14ac:dyDescent="0.45">
      <c r="D4564" t="s">
        <v>76</v>
      </c>
    </row>
    <row r="4565" spans="4:4" x14ac:dyDescent="0.45">
      <c r="D4565" t="s">
        <v>77</v>
      </c>
    </row>
    <row r="4566" spans="4:4" x14ac:dyDescent="0.45">
      <c r="D4566" t="s">
        <v>1684</v>
      </c>
    </row>
    <row r="4567" spans="4:4" x14ac:dyDescent="0.45">
      <c r="D4567" t="s">
        <v>1685</v>
      </c>
    </row>
    <row r="4568" spans="4:4" x14ac:dyDescent="0.45">
      <c r="D4568" t="s">
        <v>1736</v>
      </c>
    </row>
    <row r="4569" spans="4:4" x14ac:dyDescent="0.45">
      <c r="D4569" t="s">
        <v>1700</v>
      </c>
    </row>
    <row r="4570" spans="4:4" x14ac:dyDescent="0.45">
      <c r="D4570" t="s">
        <v>133</v>
      </c>
    </row>
    <row r="4571" spans="4:4" x14ac:dyDescent="0.45">
      <c r="D4571" t="s">
        <v>1737</v>
      </c>
    </row>
    <row r="4572" spans="4:4" x14ac:dyDescent="0.45">
      <c r="D4572" t="s">
        <v>127</v>
      </c>
    </row>
    <row r="4573" spans="4:4" x14ac:dyDescent="0.45">
      <c r="D4573" t="s">
        <v>84</v>
      </c>
    </row>
    <row r="4574" spans="4:4" x14ac:dyDescent="0.45">
      <c r="D4574" t="s">
        <v>85</v>
      </c>
    </row>
    <row r="4575" spans="4:4" x14ac:dyDescent="0.45">
      <c r="D4575" t="s">
        <v>1702</v>
      </c>
    </row>
    <row r="4576" spans="4:4" x14ac:dyDescent="0.45">
      <c r="D4576" t="s">
        <v>87</v>
      </c>
    </row>
    <row r="4577" spans="4:4" x14ac:dyDescent="0.45">
      <c r="D4577" t="s">
        <v>88</v>
      </c>
    </row>
    <row r="4578" spans="4:4" x14ac:dyDescent="0.45">
      <c r="D4578" t="s">
        <v>66</v>
      </c>
    </row>
    <row r="4579" spans="4:4" x14ac:dyDescent="0.45">
      <c r="D4579" t="s">
        <v>1738</v>
      </c>
    </row>
    <row r="4580" spans="4:4" x14ac:dyDescent="0.45">
      <c r="D4580" t="s">
        <v>1739</v>
      </c>
    </row>
    <row r="4581" spans="4:4" x14ac:dyDescent="0.45">
      <c r="D4581" t="s">
        <v>69</v>
      </c>
    </row>
    <row r="4582" spans="4:4" x14ac:dyDescent="0.45">
      <c r="D4582" t="s">
        <v>1676</v>
      </c>
    </row>
    <row r="4583" spans="4:4" x14ac:dyDescent="0.45">
      <c r="D4583" t="s">
        <v>1740</v>
      </c>
    </row>
    <row r="4584" spans="4:4" x14ac:dyDescent="0.45">
      <c r="D4584" t="s">
        <v>1684</v>
      </c>
    </row>
    <row r="4585" spans="4:4" x14ac:dyDescent="0.45">
      <c r="D4585" t="s">
        <v>1685</v>
      </c>
    </row>
    <row r="4586" spans="4:4" x14ac:dyDescent="0.45">
      <c r="D4586" t="s">
        <v>1680</v>
      </c>
    </row>
    <row r="4587" spans="4:4" x14ac:dyDescent="0.45">
      <c r="D4587" t="s">
        <v>1681</v>
      </c>
    </row>
    <row r="4588" spans="4:4" x14ac:dyDescent="0.45">
      <c r="D4588" t="s">
        <v>1108</v>
      </c>
    </row>
    <row r="4589" spans="4:4" x14ac:dyDescent="0.45">
      <c r="D4589" t="s">
        <v>1109</v>
      </c>
    </row>
    <row r="4590" spans="4:4" x14ac:dyDescent="0.45">
      <c r="D4590" t="s">
        <v>1707</v>
      </c>
    </row>
    <row r="4591" spans="4:4" x14ac:dyDescent="0.45">
      <c r="D4591" t="s">
        <v>1708</v>
      </c>
    </row>
    <row r="4592" spans="4:4" x14ac:dyDescent="0.45">
      <c r="D4592" t="s">
        <v>1678</v>
      </c>
    </row>
    <row r="4593" spans="4:4" x14ac:dyDescent="0.45">
      <c r="D4593" t="s">
        <v>1679</v>
      </c>
    </row>
    <row r="4594" spans="4:4" x14ac:dyDescent="0.45">
      <c r="D4594" t="s">
        <v>1741</v>
      </c>
    </row>
    <row r="4595" spans="4:4" x14ac:dyDescent="0.45">
      <c r="D4595" t="s">
        <v>133</v>
      </c>
    </row>
    <row r="4596" spans="4:4" x14ac:dyDescent="0.45">
      <c r="D4596" t="s">
        <v>1742</v>
      </c>
    </row>
    <row r="4597" spans="4:4" x14ac:dyDescent="0.45">
      <c r="D4597" t="s">
        <v>127</v>
      </c>
    </row>
    <row r="4598" spans="4:4" x14ac:dyDescent="0.45">
      <c r="D4598" t="s">
        <v>84</v>
      </c>
    </row>
    <row r="4599" spans="4:4" x14ac:dyDescent="0.45">
      <c r="D4599" t="s">
        <v>85</v>
      </c>
    </row>
    <row r="4600" spans="4:4" x14ac:dyDescent="0.45">
      <c r="D4600" t="s">
        <v>1743</v>
      </c>
    </row>
    <row r="4601" spans="4:4" x14ac:dyDescent="0.45">
      <c r="D4601" t="s">
        <v>87</v>
      </c>
    </row>
    <row r="4602" spans="4:4" x14ac:dyDescent="0.45">
      <c r="D4602" t="s">
        <v>88</v>
      </c>
    </row>
    <row r="4603" spans="4:4" x14ac:dyDescent="0.45">
      <c r="D4603" t="s">
        <v>66</v>
      </c>
    </row>
    <row r="4604" spans="4:4" x14ac:dyDescent="0.45">
      <c r="D4604" t="s">
        <v>1744</v>
      </c>
    </row>
    <row r="4605" spans="4:4" x14ac:dyDescent="0.45">
      <c r="D4605" t="s">
        <v>1745</v>
      </c>
    </row>
    <row r="4606" spans="4:4" x14ac:dyDescent="0.45">
      <c r="D4606" t="s">
        <v>1746</v>
      </c>
    </row>
    <row r="4607" spans="4:4" x14ac:dyDescent="0.45">
      <c r="D4607" t="s">
        <v>69</v>
      </c>
    </row>
    <row r="4608" spans="4:4" x14ac:dyDescent="0.45">
      <c r="D4608" t="s">
        <v>1676</v>
      </c>
    </row>
    <row r="4609" spans="4:4" x14ac:dyDescent="0.45">
      <c r="D4609" t="s">
        <v>1747</v>
      </c>
    </row>
    <row r="4610" spans="4:4" x14ac:dyDescent="0.45">
      <c r="D4610" t="s">
        <v>1678</v>
      </c>
    </row>
    <row r="4611" spans="4:4" x14ac:dyDescent="0.45">
      <c r="D4611" t="s">
        <v>1679</v>
      </c>
    </row>
    <row r="4612" spans="4:4" x14ac:dyDescent="0.45">
      <c r="D4612" t="s">
        <v>1684</v>
      </c>
    </row>
    <row r="4613" spans="4:4" x14ac:dyDescent="0.45">
      <c r="D4613" t="s">
        <v>1685</v>
      </c>
    </row>
    <row r="4614" spans="4:4" x14ac:dyDescent="0.45">
      <c r="D4614" t="s">
        <v>1680</v>
      </c>
    </row>
    <row r="4615" spans="4:4" x14ac:dyDescent="0.45">
      <c r="D4615" t="s">
        <v>1681</v>
      </c>
    </row>
    <row r="4616" spans="4:4" x14ac:dyDescent="0.45">
      <c r="D4616" t="s">
        <v>1108</v>
      </c>
    </row>
    <row r="4617" spans="4:4" x14ac:dyDescent="0.45">
      <c r="D4617" t="s">
        <v>1109</v>
      </c>
    </row>
    <row r="4618" spans="4:4" x14ac:dyDescent="0.45">
      <c r="D4618" t="s">
        <v>1707</v>
      </c>
    </row>
    <row r="4619" spans="4:4" x14ac:dyDescent="0.45">
      <c r="D4619" t="s">
        <v>1708</v>
      </c>
    </row>
    <row r="4620" spans="4:4" x14ac:dyDescent="0.45">
      <c r="D4620" t="s">
        <v>1748</v>
      </c>
    </row>
    <row r="4621" spans="4:4" x14ac:dyDescent="0.45">
      <c r="D4621" t="s">
        <v>133</v>
      </c>
    </row>
    <row r="4622" spans="4:4" x14ac:dyDescent="0.45">
      <c r="D4622" t="s">
        <v>1749</v>
      </c>
    </row>
    <row r="4623" spans="4:4" x14ac:dyDescent="0.45">
      <c r="D4623" t="s">
        <v>127</v>
      </c>
    </row>
    <row r="4624" spans="4:4" x14ac:dyDescent="0.45">
      <c r="D4624" t="s">
        <v>84</v>
      </c>
    </row>
    <row r="4625" spans="4:4" x14ac:dyDescent="0.45">
      <c r="D4625" t="s">
        <v>85</v>
      </c>
    </row>
    <row r="4626" spans="4:4" x14ac:dyDescent="0.45">
      <c r="D4626" t="s">
        <v>1702</v>
      </c>
    </row>
    <row r="4627" spans="4:4" x14ac:dyDescent="0.45">
      <c r="D4627" t="s">
        <v>87</v>
      </c>
    </row>
    <row r="4628" spans="4:4" x14ac:dyDescent="0.45">
      <c r="D4628" t="s">
        <v>88</v>
      </c>
    </row>
    <row r="4629" spans="4:4" x14ac:dyDescent="0.45">
      <c r="D4629" t="s">
        <v>66</v>
      </c>
    </row>
    <row r="4630" spans="4:4" x14ac:dyDescent="0.45">
      <c r="D4630" t="s">
        <v>1750</v>
      </c>
    </row>
    <row r="4631" spans="4:4" x14ac:dyDescent="0.45">
      <c r="D4631" t="s">
        <v>1751</v>
      </c>
    </row>
    <row r="4632" spans="4:4" x14ac:dyDescent="0.45">
      <c r="D4632" t="s">
        <v>69</v>
      </c>
    </row>
    <row r="4633" spans="4:4" x14ac:dyDescent="0.45">
      <c r="D4633" t="s">
        <v>1676</v>
      </c>
    </row>
    <row r="4634" spans="4:4" x14ac:dyDescent="0.45">
      <c r="D4634" t="s">
        <v>1752</v>
      </c>
    </row>
    <row r="4635" spans="4:4" x14ac:dyDescent="0.45">
      <c r="D4635" t="s">
        <v>76</v>
      </c>
    </row>
    <row r="4636" spans="4:4" x14ac:dyDescent="0.45">
      <c r="D4636" t="s">
        <v>77</v>
      </c>
    </row>
    <row r="4637" spans="4:4" x14ac:dyDescent="0.45">
      <c r="D4637" t="s">
        <v>1680</v>
      </c>
    </row>
    <row r="4638" spans="4:4" x14ac:dyDescent="0.45">
      <c r="D4638" t="s">
        <v>1681</v>
      </c>
    </row>
    <row r="4639" spans="4:4" x14ac:dyDescent="0.45">
      <c r="D4639" t="s">
        <v>1707</v>
      </c>
    </row>
    <row r="4640" spans="4:4" x14ac:dyDescent="0.45">
      <c r="D4640" t="s">
        <v>1708</v>
      </c>
    </row>
    <row r="4641" spans="4:4" x14ac:dyDescent="0.45">
      <c r="D4641" t="s">
        <v>1753</v>
      </c>
    </row>
    <row r="4642" spans="4:4" x14ac:dyDescent="0.45">
      <c r="D4642" t="s">
        <v>1754</v>
      </c>
    </row>
    <row r="4643" spans="4:4" x14ac:dyDescent="0.45">
      <c r="D4643" t="s">
        <v>1727</v>
      </c>
    </row>
    <row r="4644" spans="4:4" x14ac:dyDescent="0.45">
      <c r="D4644" t="s">
        <v>1728</v>
      </c>
    </row>
    <row r="4645" spans="4:4" x14ac:dyDescent="0.45">
      <c r="D4645" t="s">
        <v>1755</v>
      </c>
    </row>
    <row r="4646" spans="4:4" x14ac:dyDescent="0.45">
      <c r="D4646" t="s">
        <v>133</v>
      </c>
    </row>
    <row r="4647" spans="4:4" x14ac:dyDescent="0.45">
      <c r="D4647" t="s">
        <v>1756</v>
      </c>
    </row>
    <row r="4648" spans="4:4" x14ac:dyDescent="0.45">
      <c r="D4648" t="s">
        <v>127</v>
      </c>
    </row>
    <row r="4649" spans="4:4" x14ac:dyDescent="0.45">
      <c r="D4649" t="s">
        <v>84</v>
      </c>
    </row>
    <row r="4650" spans="4:4" x14ac:dyDescent="0.45">
      <c r="D4650" t="s">
        <v>85</v>
      </c>
    </row>
    <row r="4651" spans="4:4" x14ac:dyDescent="0.45">
      <c r="D4651" t="s">
        <v>1757</v>
      </c>
    </row>
    <row r="4652" spans="4:4" x14ac:dyDescent="0.45">
      <c r="D4652" t="s">
        <v>87</v>
      </c>
    </row>
    <row r="4653" spans="4:4" x14ac:dyDescent="0.45">
      <c r="D4653" t="s">
        <v>88</v>
      </c>
    </row>
    <row r="4654" spans="4:4" x14ac:dyDescent="0.45">
      <c r="D4654" t="s">
        <v>66</v>
      </c>
    </row>
    <row r="4655" spans="4:4" x14ac:dyDescent="0.45">
      <c r="D4655" t="s">
        <v>1758</v>
      </c>
    </row>
    <row r="4656" spans="4:4" x14ac:dyDescent="0.45">
      <c r="D4656" t="s">
        <v>1759</v>
      </c>
    </row>
    <row r="4657" spans="4:4" x14ac:dyDescent="0.45">
      <c r="D4657" t="s">
        <v>69</v>
      </c>
    </row>
    <row r="4658" spans="4:4" x14ac:dyDescent="0.45">
      <c r="D4658" t="s">
        <v>1676</v>
      </c>
    </row>
    <row r="4659" spans="4:4" x14ac:dyDescent="0.45">
      <c r="D4659" t="s">
        <v>1760</v>
      </c>
    </row>
    <row r="4660" spans="4:4" x14ac:dyDescent="0.45">
      <c r="D4660" t="s">
        <v>76</v>
      </c>
    </row>
    <row r="4661" spans="4:4" x14ac:dyDescent="0.45">
      <c r="D4661" t="s">
        <v>77</v>
      </c>
    </row>
    <row r="4662" spans="4:4" x14ac:dyDescent="0.45">
      <c r="D4662" t="s">
        <v>1678</v>
      </c>
    </row>
    <row r="4663" spans="4:4" x14ac:dyDescent="0.45">
      <c r="D4663" t="s">
        <v>1679</v>
      </c>
    </row>
    <row r="4664" spans="4:4" x14ac:dyDescent="0.45">
      <c r="D4664" t="s">
        <v>1680</v>
      </c>
    </row>
    <row r="4665" spans="4:4" x14ac:dyDescent="0.45">
      <c r="D4665" t="s">
        <v>1681</v>
      </c>
    </row>
    <row r="4666" spans="4:4" x14ac:dyDescent="0.45">
      <c r="D4666" t="s">
        <v>1707</v>
      </c>
    </row>
    <row r="4667" spans="4:4" x14ac:dyDescent="0.45">
      <c r="D4667" t="s">
        <v>1708</v>
      </c>
    </row>
    <row r="4668" spans="4:4" x14ac:dyDescent="0.45">
      <c r="D4668" t="s">
        <v>1684</v>
      </c>
    </row>
    <row r="4669" spans="4:4" x14ac:dyDescent="0.45">
      <c r="D4669" t="s">
        <v>1685</v>
      </c>
    </row>
    <row r="4670" spans="4:4" x14ac:dyDescent="0.45">
      <c r="D4670" t="s">
        <v>1761</v>
      </c>
    </row>
    <row r="4671" spans="4:4" x14ac:dyDescent="0.45">
      <c r="D4671" t="s">
        <v>133</v>
      </c>
    </row>
    <row r="4672" spans="4:4" x14ac:dyDescent="0.45">
      <c r="D4672" t="s">
        <v>1762</v>
      </c>
    </row>
    <row r="4673" spans="4:4" x14ac:dyDescent="0.45">
      <c r="D4673" t="s">
        <v>127</v>
      </c>
    </row>
    <row r="4674" spans="4:4" x14ac:dyDescent="0.45">
      <c r="D4674" t="s">
        <v>84</v>
      </c>
    </row>
    <row r="4675" spans="4:4" x14ac:dyDescent="0.45">
      <c r="D4675" t="s">
        <v>85</v>
      </c>
    </row>
    <row r="4676" spans="4:4" x14ac:dyDescent="0.45">
      <c r="D4676" t="s">
        <v>1763</v>
      </c>
    </row>
    <row r="4677" spans="4:4" x14ac:dyDescent="0.45">
      <c r="D4677" t="s">
        <v>87</v>
      </c>
    </row>
    <row r="4678" spans="4:4" x14ac:dyDescent="0.45">
      <c r="D4678" t="s">
        <v>88</v>
      </c>
    </row>
    <row r="4679" spans="4:4" x14ac:dyDescent="0.45">
      <c r="D4679" t="s">
        <v>1764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1:P15"/>
  <sheetViews>
    <sheetView tabSelected="1" topLeftCell="A2" zoomScaleNormal="100" workbookViewId="0">
      <selection activeCell="I11" sqref="I11"/>
    </sheetView>
  </sheetViews>
  <sheetFormatPr defaultRowHeight="14.25" x14ac:dyDescent="0.45"/>
  <cols>
    <col min="4" max="6" width="10.59765625" customWidth="1"/>
    <col min="7" max="7" width="13.86328125" bestFit="1" customWidth="1"/>
    <col min="8" max="8" width="10.59765625" style="4" customWidth="1"/>
    <col min="9" max="9" width="10.59765625" customWidth="1"/>
    <col min="10" max="10" width="12.59765625" style="1" bestFit="1" customWidth="1"/>
    <col min="11" max="11" width="10.59765625" style="3" customWidth="1"/>
    <col min="12" max="12" width="10.59765625" customWidth="1"/>
    <col min="13" max="13" width="11" style="2" bestFit="1" customWidth="1"/>
    <col min="16" max="16" width="11" bestFit="1" customWidth="1"/>
  </cols>
  <sheetData>
    <row r="1" spans="4:16" x14ac:dyDescent="0.45">
      <c r="D1" s="14" t="s">
        <v>14</v>
      </c>
      <c r="E1" s="14"/>
      <c r="F1" s="14"/>
      <c r="G1" s="8"/>
      <c r="H1" s="12" t="s">
        <v>12</v>
      </c>
      <c r="I1" s="13"/>
      <c r="J1" s="13"/>
      <c r="K1" s="13"/>
      <c r="L1" s="13"/>
    </row>
    <row r="2" spans="4:16" ht="14.65" thickBot="1" x14ac:dyDescent="0.5">
      <c r="D2" s="5" t="s">
        <v>7</v>
      </c>
      <c r="E2" s="5" t="s">
        <v>10</v>
      </c>
      <c r="F2" s="5" t="s">
        <v>11</v>
      </c>
      <c r="G2" s="9" t="s">
        <v>15</v>
      </c>
      <c r="H2" s="10" t="s">
        <v>7</v>
      </c>
      <c r="I2" s="5" t="s">
        <v>8</v>
      </c>
      <c r="J2" s="5" t="s">
        <v>0</v>
      </c>
      <c r="K2" s="5" t="s">
        <v>9</v>
      </c>
      <c r="L2" s="5" t="s">
        <v>13</v>
      </c>
    </row>
    <row r="3" spans="4:16" x14ac:dyDescent="0.45">
      <c r="D3" t="s">
        <v>23</v>
      </c>
      <c r="E3" t="s">
        <v>1765</v>
      </c>
      <c r="F3">
        <v>3</v>
      </c>
      <c r="H3" t="s">
        <v>23</v>
      </c>
      <c r="I3" t="s">
        <v>3</v>
      </c>
      <c r="J3" s="6">
        <v>42877</v>
      </c>
      <c r="K3" s="7">
        <v>0.5</v>
      </c>
      <c r="L3">
        <v>5</v>
      </c>
    </row>
    <row r="4" spans="4:16" x14ac:dyDescent="0.45">
      <c r="D4" t="s">
        <v>31</v>
      </c>
      <c r="E4" t="s">
        <v>1766</v>
      </c>
      <c r="F4">
        <v>6</v>
      </c>
      <c r="H4" t="s">
        <v>31</v>
      </c>
      <c r="I4" t="s">
        <v>2</v>
      </c>
      <c r="J4" s="6">
        <v>42878</v>
      </c>
      <c r="K4" s="7">
        <v>0.625</v>
      </c>
      <c r="L4">
        <v>3</v>
      </c>
    </row>
    <row r="5" spans="4:16" x14ac:dyDescent="0.45">
      <c r="D5" t="s">
        <v>16</v>
      </c>
      <c r="E5" t="s">
        <v>1767</v>
      </c>
      <c r="F5">
        <v>1</v>
      </c>
      <c r="H5" t="s">
        <v>16</v>
      </c>
      <c r="I5" t="s">
        <v>1</v>
      </c>
      <c r="J5" s="6">
        <v>42879</v>
      </c>
      <c r="K5" s="7">
        <v>0.75</v>
      </c>
      <c r="L5">
        <v>2</v>
      </c>
    </row>
    <row r="6" spans="4:16" x14ac:dyDescent="0.45">
      <c r="D6" t="s">
        <v>32</v>
      </c>
      <c r="E6" t="s">
        <v>1768</v>
      </c>
      <c r="F6">
        <v>9</v>
      </c>
      <c r="H6" t="s">
        <v>32</v>
      </c>
      <c r="I6" t="s">
        <v>2</v>
      </c>
      <c r="J6" s="6">
        <v>42880</v>
      </c>
      <c r="K6" s="7">
        <v>0.45833333333333331</v>
      </c>
      <c r="L6">
        <v>4</v>
      </c>
    </row>
    <row r="9" spans="4:16" x14ac:dyDescent="0.45">
      <c r="J9" s="2"/>
      <c r="K9" s="2"/>
    </row>
    <row r="10" spans="4:16" x14ac:dyDescent="0.45">
      <c r="I10" s="1"/>
      <c r="J10" s="3"/>
      <c r="K10"/>
    </row>
    <row r="11" spans="4:16" x14ac:dyDescent="0.45">
      <c r="I11" s="2"/>
      <c r="J11" s="2"/>
      <c r="K11"/>
      <c r="P11" s="2"/>
    </row>
    <row r="12" spans="4:16" x14ac:dyDescent="0.45">
      <c r="I12" s="2"/>
      <c r="J12" s="2"/>
      <c r="K12"/>
      <c r="P12" s="2"/>
    </row>
    <row r="13" spans="4:16" x14ac:dyDescent="0.45">
      <c r="I13" s="2"/>
      <c r="J13" s="2"/>
      <c r="K13"/>
      <c r="P13" s="2"/>
    </row>
    <row r="14" spans="4:16" x14ac:dyDescent="0.45">
      <c r="H14" s="11"/>
      <c r="I14" s="2"/>
      <c r="J14" s="2"/>
      <c r="K14"/>
      <c r="P14" s="2"/>
    </row>
    <row r="15" spans="4:16" x14ac:dyDescent="0.45">
      <c r="I15" s="2"/>
      <c r="J15" s="2"/>
      <c r="K15" s="2"/>
      <c r="L15" s="2"/>
      <c r="N15" s="2"/>
    </row>
  </sheetData>
  <mergeCells count="2">
    <mergeCell ref="H1:L1"/>
    <mergeCell ref="D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">
                <anchor moveWithCells="1" sizeWithCells="1">
                  <from>
                    <xdr:col>0</xdr:col>
                    <xdr:colOff>209550</xdr:colOff>
                    <xdr:row>1</xdr:row>
                    <xdr:rowOff>114300</xdr:rowOff>
                  </from>
                  <to>
                    <xdr:col>2</xdr:col>
                    <xdr:colOff>495300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3</xdr:col>
                    <xdr:colOff>419100</xdr:colOff>
                    <xdr:row>16</xdr:row>
                    <xdr:rowOff>47625</xdr:rowOff>
                  </from>
                  <to>
                    <xdr:col>5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ccessexport">
                <anchor moveWithCells="1" sizeWithCells="1">
                  <from>
                    <xdr:col>0</xdr:col>
                    <xdr:colOff>200025</xdr:colOff>
                    <xdr:row>5</xdr:row>
                    <xdr:rowOff>114300</xdr:rowOff>
                  </from>
                  <to>
                    <xdr:col>2</xdr:col>
                    <xdr:colOff>504825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219075</xdr:colOff>
                    <xdr:row>9</xdr:row>
                    <xdr:rowOff>133350</xdr:rowOff>
                  </from>
                  <to>
                    <xdr:col>2</xdr:col>
                    <xdr:colOff>504825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209550</xdr:colOff>
                    <xdr:row>13</xdr:row>
                    <xdr:rowOff>57150</xdr:rowOff>
                  </from>
                  <to>
                    <xdr:col>2</xdr:col>
                    <xdr:colOff>171450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importratings">
                <anchor moveWithCells="1">
                  <from>
                    <xdr:col>0</xdr:col>
                    <xdr:colOff>314325</xdr:colOff>
                    <xdr:row>17</xdr:row>
                    <xdr:rowOff>114300</xdr:rowOff>
                  </from>
                  <to>
                    <xdr:col>2</xdr:col>
                    <xdr:colOff>285750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optimizecal">
                <anchor moveWithCells="1" sizeWithCells="1">
                  <from>
                    <xdr:col>0</xdr:col>
                    <xdr:colOff>352425</xdr:colOff>
                    <xdr:row>23</xdr:row>
                    <xdr:rowOff>9525</xdr:rowOff>
                  </from>
                  <to>
                    <xdr:col>2</xdr:col>
                    <xdr:colOff>552450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exportics">
                <anchor moveWithCells="1" sizeWithCells="1">
                  <from>
                    <xdr:col>3</xdr:col>
                    <xdr:colOff>66675</xdr:colOff>
                    <xdr:row>23</xdr:row>
                    <xdr:rowOff>47625</xdr:rowOff>
                  </from>
                  <to>
                    <xdr:col>5</xdr:col>
                    <xdr:colOff>247650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activeCell="C21" sqref="C21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Main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Connor O'brien</dc:creator>
  <cp:lastModifiedBy>Connor O'brien</cp:lastModifiedBy>
  <dcterms:created xsi:type="dcterms:W3CDTF">2016-03-19T18:08:48Z</dcterms:created>
  <dcterms:modified xsi:type="dcterms:W3CDTF">2017-05-17T22:46:36Z</dcterms:modified>
</cp:coreProperties>
</file>